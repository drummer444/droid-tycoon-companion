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Quick Entry" sheetId="2" state="visible" r:id="rId4"/>
    <sheet name="Droid Database" sheetId="3" state="visible" r:id="rId5"/>
    <sheet name="Rebirth Tracker" sheetId="4" state="visible" r:id="rId6"/>
    <sheet name="Upgrade Costs" sheetId="5" state="visible" r:id="rId7"/>
    <sheet name="Lists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<sst xmlns="http://schemas.openxmlformats.org/spreadsheetml/2006/main" count="441" uniqueCount="129">
  <si>
    <t xml:space="preserve">Droid Tycoon Companion</t>
  </si>
  <si>
    <t xml:space="preserve">Fortnite Star Wars: Droid Tycoon Tracker</t>
  </si>
  <si>
    <t xml:space="preserve">Your Current Credits</t>
  </si>
  <si>
    <t xml:space="preserve">(enter this each time you play — used to check rebirth readiness)</t>
  </si>
  <si>
    <t xml:space="preserve">Summary</t>
  </si>
  <si>
    <t xml:space="preserve">Droids Owned</t>
  </si>
  <si>
    <t xml:space="preserve">Total Droids in Database</t>
  </si>
  <si>
    <t xml:space="preserve">Total Income / Second</t>
  </si>
  <si>
    <t xml:space="preserve">Total Income / Hour</t>
  </si>
  <si>
    <t xml:space="preserve">Highest Rebirth Completed (enter manually)</t>
  </si>
  <si>
    <t xml:space="preserve">Next Rebirth Target</t>
  </si>
  <si>
    <t xml:space="preserve">Next Rebirth Level</t>
  </si>
  <si>
    <t xml:space="preserve">Credits Needed</t>
  </si>
  <si>
    <t xml:space="preserve">Credits Still Needed</t>
  </si>
  <si>
    <t xml:space="preserve">Droid Requirements Met?</t>
  </si>
  <si>
    <t xml:space="preserve">Overall Status</t>
  </si>
  <si>
    <t xml:space="preserve">How to use this workbook</t>
  </si>
  <si>
    <t xml:space="preserve">1. Go to 'Quick Entry' — pick a droid from the dropdown in column A, set Owned? to Yes, then pick its Tier.</t>
  </si>
  <si>
    <t xml:space="preserve">2. 'Droid Database' updates automatically to show your full collection and total income.</t>
  </si>
  <si>
    <t xml:space="preserve">3. Update 'Your Current Credits' above each time you check in.</t>
  </si>
  <si>
    <t xml:space="preserve">4. Check 'Rebirth Tracker' to see exactly which rebirth levels you're ready for (green = ready).</t>
  </si>
  <si>
    <t xml:space="preserve">5. 'Upgrade Costs' shows how many Upgrade Chips each rarity needs to level up a tier.</t>
  </si>
  <si>
    <t xml:space="preserve">5. Droid list, income values, and rebirth requirements sourced from Insider Gaming (Droidex guide May 6 2026; Rebirth guide updated Jun 15 2026) — cross-check in-game as Epic patches the game.</t>
  </si>
  <si>
    <t xml:space="preserve">Add your droids here</t>
  </si>
  <si>
    <t xml:space="preserve">Pick a droid from the dropdown, mark Owned = Yes, then pick the tier you have. That's it — the Droid Database and Rebirth Tracker update automatically.</t>
  </si>
  <si>
    <t xml:space="preserve">Droid</t>
  </si>
  <si>
    <t xml:space="preserve">Owned?</t>
  </si>
  <si>
    <t xml:space="preserve">Tier</t>
  </si>
  <si>
    <t xml:space="preserve">No</t>
  </si>
  <si>
    <t xml:space="preserve">Name</t>
  </si>
  <si>
    <t xml:space="preserve">Type</t>
  </si>
  <si>
    <t xml:space="preserve">Rarity</t>
  </si>
  <si>
    <t xml:space="preserve">Base Income/s</t>
  </si>
  <si>
    <t xml:space="preserve">Gold Income/s</t>
  </si>
  <si>
    <t xml:space="preserve">Diamond Income/s</t>
  </si>
  <si>
    <t xml:space="preserve">Rainbow Income/s</t>
  </si>
  <si>
    <t xml:space="preserve">Owned Tier (auto)</t>
  </si>
  <si>
    <t xml:space="preserve">Owned Rank</t>
  </si>
  <si>
    <t xml:space="preserve">Current Income/s</t>
  </si>
  <si>
    <t xml:space="preserve">Notes</t>
  </si>
  <si>
    <t xml:space="preserve">Mouse</t>
  </si>
  <si>
    <t xml:space="preserve">Worker</t>
  </si>
  <si>
    <t xml:space="preserve">Common</t>
  </si>
  <si>
    <t xml:space="preserve">Pit</t>
  </si>
  <si>
    <t xml:space="preserve">Gonk</t>
  </si>
  <si>
    <t xml:space="preserve">CB</t>
  </si>
  <si>
    <t xml:space="preserve">Astromech</t>
  </si>
  <si>
    <t xml:space="preserve">R3</t>
  </si>
  <si>
    <t xml:space="preserve">R5</t>
  </si>
  <si>
    <t xml:space="preserve">R8</t>
  </si>
  <si>
    <t xml:space="preserve">Imperial Probe</t>
  </si>
  <si>
    <t xml:space="preserve">Battle</t>
  </si>
  <si>
    <t xml:space="preserve">B1 Battle</t>
  </si>
  <si>
    <t xml:space="preserve">DRK-1 Probe</t>
  </si>
  <si>
    <t xml:space="preserve">ID10</t>
  </si>
  <si>
    <t xml:space="preserve">BDX Explorer</t>
  </si>
  <si>
    <t xml:space="preserve">Rare</t>
  </si>
  <si>
    <t xml:space="preserve">ARG</t>
  </si>
  <si>
    <t xml:space="preserve">Senate Hovercam</t>
  </si>
  <si>
    <t xml:space="preserve">BU-4D</t>
  </si>
  <si>
    <t xml:space="preserve">Bal-Core</t>
  </si>
  <si>
    <t xml:space="preserve">ROLL-R</t>
  </si>
  <si>
    <t xml:space="preserve">2BB</t>
  </si>
  <si>
    <t xml:space="preserve">A-LT</t>
  </si>
  <si>
    <t xml:space="preserve">R4</t>
  </si>
  <si>
    <t xml:space="preserve">R9</t>
  </si>
  <si>
    <t xml:space="preserve">B1 Security</t>
  </si>
  <si>
    <t xml:space="preserve">NAV-EX</t>
  </si>
  <si>
    <t xml:space="preserve">VECT-Arm</t>
  </si>
  <si>
    <t xml:space="preserve">HOV-R</t>
  </si>
  <si>
    <t xml:space="preserve">Groundmech</t>
  </si>
  <si>
    <t xml:space="preserve">Epic</t>
  </si>
  <si>
    <t xml:space="preserve">LO</t>
  </si>
  <si>
    <t xml:space="preserve">AMP Walker</t>
  </si>
  <si>
    <t xml:space="preserve">SEN-TRI</t>
  </si>
  <si>
    <t xml:space="preserve">Opti-Pod</t>
  </si>
  <si>
    <t xml:space="preserve">BB</t>
  </si>
  <si>
    <t xml:space="preserve">R2</t>
  </si>
  <si>
    <t xml:space="preserve">R6</t>
  </si>
  <si>
    <t xml:space="preserve">TRAK-R</t>
  </si>
  <si>
    <t xml:space="preserve">ORB-Walker</t>
  </si>
  <si>
    <t xml:space="preserve">Util-Tec</t>
  </si>
  <si>
    <t xml:space="preserve">B1 Heavy</t>
  </si>
  <si>
    <t xml:space="preserve">B2 Super</t>
  </si>
  <si>
    <t xml:space="preserve">B2 Heavy</t>
  </si>
  <si>
    <t xml:space="preserve">Strike-Orb</t>
  </si>
  <si>
    <t xml:space="preserve">Haul-R</t>
  </si>
  <si>
    <t xml:space="preserve">LNG-Shot</t>
  </si>
  <si>
    <t xml:space="preserve">Diamond value corrected to fit x2 pattern; source table showed 1.08k (likely a typo)</t>
  </si>
  <si>
    <t xml:space="preserve">Proto-Roller</t>
  </si>
  <si>
    <t xml:space="preserve">Source lists slightly rounded k-values (1.94k/3.88k/7.76k); shown here as exact x2 doubling from base</t>
  </si>
  <si>
    <t xml:space="preserve">Mecha-Droid</t>
  </si>
  <si>
    <t xml:space="preserve">Legendary</t>
  </si>
  <si>
    <t xml:space="preserve">Mono-WLKR</t>
  </si>
  <si>
    <t xml:space="preserve">Source rounded Gold/Diamond/Rainbow slightly (2.23k/4.46k/8.92k); shown here as exact x2 doubling</t>
  </si>
  <si>
    <t xml:space="preserve">BB9</t>
  </si>
  <si>
    <t xml:space="preserve">R7</t>
  </si>
  <si>
    <t xml:space="preserve">B2-RP</t>
  </si>
  <si>
    <t xml:space="preserve">Cyclo-Grav</t>
  </si>
  <si>
    <t xml:space="preserve">Opti-STRK</t>
  </si>
  <si>
    <t xml:space="preserve">BB-8</t>
  </si>
  <si>
    <t xml:space="preserve">Mythic</t>
  </si>
  <si>
    <t xml:space="preserve">TBC</t>
  </si>
  <si>
    <t xml:space="preserve">Income values not yet published by Epic (TBC)</t>
  </si>
  <si>
    <t xml:space="preserve">Rebirth</t>
  </si>
  <si>
    <t xml:space="preserve">Credits Ready?</t>
  </si>
  <si>
    <t xml:space="preserve">Droid 1</t>
  </si>
  <si>
    <t xml:space="preserve">Tier 1</t>
  </si>
  <si>
    <t xml:space="preserve">Ready?</t>
  </si>
  <si>
    <t xml:space="preserve">Droid 2</t>
  </si>
  <si>
    <t xml:space="preserve">Tier 2</t>
  </si>
  <si>
    <t xml:space="preserve">Droid 3</t>
  </si>
  <si>
    <t xml:space="preserve">Tier 3</t>
  </si>
  <si>
    <t xml:space="preserve">ALL REQUIREMENTS MET?</t>
  </si>
  <si>
    <t xml:space="preserve">Base</t>
  </si>
  <si>
    <t xml:space="preserve">Gold</t>
  </si>
  <si>
    <t xml:space="preserve">Diamond</t>
  </si>
  <si>
    <t xml:space="preserve">Rainbow</t>
  </si>
  <si>
    <t xml:space="preserve">Beskar</t>
  </si>
  <si>
    <t xml:space="preserve">Upgrade Chip Costs by Rarity</t>
  </si>
  <si>
    <t xml:space="preserve">Chips: Base -&gt; Gold</t>
  </si>
  <si>
    <t xml:space="preserve">Chips: Gold -&gt; Diamond</t>
  </si>
  <si>
    <t xml:space="preserve">Chips: Diamond -&gt; Rainbow</t>
  </si>
  <si>
    <t xml:space="preserve">Source: Insider Gaming, Droidex guide (May 6, 2026). Cross-check in-game before heavy chip investment.</t>
  </si>
  <si>
    <t xml:space="preserve">Rank</t>
  </si>
  <si>
    <t xml:space="preserve">YesNo</t>
  </si>
  <si>
    <t xml:space="preserve">OwnedTierChoices</t>
  </si>
  <si>
    <t xml:space="preserve">None</t>
  </si>
  <si>
    <t xml:space="preserve">Yes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</si>
</sst>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F3B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CE6"/>
        <bgColor rgb="FFC6EFCE"/>
      </patternFill>
    </fill>
    <fill>
      <patternFill patternType="solid">
        <fgColor rgb="FF1B1F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F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f aca="false">B4</f>
        <v>0</v>
      </c>
    </row>
    <row r="4" customFormat="false" ht="15" hidden="false" customHeight="false" outlineLevel="0" collapsed="false">
      <c r="A4" s="4" t="s">
        <v>2</v>
      </c>
      <c r="B4" s="5" t="n">
        <v>0</v>
      </c>
    </row>
    <row r="5" customFormat="false" ht="15" hidden="false" customHeight="false" outlineLevel="0" collapsed="false">
      <c r="A5" s="6" t="s">
        <v>3</v>
      </c>
    </row>
    <row r="7" customFormat="false" ht="15" hidden="false" customHeight="false" outlineLevel="0" collapsed="false">
      <c r="A7" s="7" t="s">
        <v>4</v>
      </c>
      <c r="B7" s="8"/>
    </row>
    <row r="8" customFormat="false" ht="15" hidden="false" customHeight="false" outlineLevel="0" collapsed="false">
      <c r="A8" s="9" t="s">
        <v>5</v>
      </c>
      <c r="B8" s="10" t="n">
        <f aca="false">COUNTIF('Droid Database'!H2:H52,"&lt;&gt;None")</f>
        <v>0</v>
      </c>
    </row>
    <row r="9" customFormat="false" ht="15" hidden="false" customHeight="false" outlineLevel="0" collapsed="false">
      <c r="A9" s="9" t="s">
        <v>6</v>
      </c>
      <c r="B9" s="0" t="n">
        <v>51</v>
      </c>
    </row>
    <row r="10" customFormat="false" ht="15" hidden="false" customHeight="false" outlineLevel="0" collapsed="false">
      <c r="A10" s="9" t="s">
        <v>7</v>
      </c>
      <c r="B10" s="3" t="n">
        <f aca="false">SUM('Droid Database'!J2:J52)</f>
        <v>0</v>
      </c>
    </row>
    <row r="11" customFormat="false" ht="15" hidden="false" customHeight="false" outlineLevel="0" collapsed="false">
      <c r="A11" s="9" t="s">
        <v>8</v>
      </c>
      <c r="B11" s="3" t="n">
        <f aca="false">B10*3600</f>
        <v>0</v>
      </c>
    </row>
    <row r="13" customFormat="false" ht="15" hidden="false" customHeight="false" outlineLevel="0" collapsed="false">
      <c r="A13" s="4" t="s">
        <v>9</v>
      </c>
      <c r="B13" s="11" t="n">
        <v>0</v>
      </c>
    </row>
    <row r="15" customFormat="false" ht="15" hidden="false" customHeight="false" outlineLevel="0" collapsed="false">
      <c r="A15" s="7" t="s">
        <v>10</v>
      </c>
      <c r="B15" s="8"/>
    </row>
    <row r="16" customFormat="false" ht="15" hidden="false" customHeight="false" outlineLevel="0" collapsed="false">
      <c r="A16" s="9" t="s">
        <v>11</v>
      </c>
      <c r="B16" s="10" t="n">
        <f aca="false">B13+1</f>
        <v>1</v>
      </c>
    </row>
    <row r="17" customFormat="false" ht="15" hidden="false" customHeight="false" outlineLevel="0" collapsed="false">
      <c r="A17" s="9" t="s">
        <v>12</v>
      </c>
      <c r="B17" s="3" t="n">
        <f aca="false">IFERROR(INDEX('Rebirth Tracker'!B:B,MATCH(B16,'Rebirth Tracker'!A:A,0)),"—")</f>
        <v>10000</v>
      </c>
    </row>
    <row r="18" customFormat="false" ht="15" hidden="false" customHeight="false" outlineLevel="0" collapsed="false">
      <c r="A18" s="9" t="s">
        <v>13</v>
      </c>
      <c r="B18" s="3" t="n">
        <f aca="false">IF(ISNUMBER(B17),MAX(B17-B4,0),"—")</f>
        <v>10000</v>
      </c>
    </row>
    <row r="19" customFormat="false" ht="15" hidden="false" customHeight="false" outlineLevel="0" collapsed="false">
      <c r="A19" s="9" t="s">
        <v>14</v>
      </c>
      <c r="B19" s="0" t="str">
        <f aca="false">IFERROR(INDEX('Rebirth Tracker'!M:M,MATCH(B16,'Rebirth Tracker'!A:A,0)),"—")</f>
        <v>NOT YET</v>
      </c>
    </row>
    <row r="20" customFormat="false" ht="15" hidden="false" customHeight="false" outlineLevel="0" collapsed="false">
      <c r="A20" s="9" t="s">
        <v>15</v>
      </c>
      <c r="B20" s="0" t="str">
        <f aca="false">IFERROR(INDEX('Rebirth Tracker'!M:M,MATCH(B16,'Rebirth Tracker'!A:A,0)),"—")</f>
        <v>NOT YET</v>
      </c>
    </row>
    <row r="22" customFormat="false" ht="15" hidden="false" customHeight="false" outlineLevel="0" collapsed="false">
      <c r="A22" s="4" t="s">
        <v>16</v>
      </c>
    </row>
    <row r="23" customFormat="false" ht="15" hidden="false" customHeight="false" outlineLevel="0" collapsed="false">
      <c r="A23" s="12" t="s">
        <v>17</v>
      </c>
    </row>
    <row r="24" customFormat="false" ht="15" hidden="false" customHeight="false" outlineLevel="0" collapsed="false">
      <c r="A24" s="12" t="s">
        <v>18</v>
      </c>
    </row>
    <row r="25" customFormat="false" ht="15" hidden="false" customHeight="false" outlineLevel="0" collapsed="false">
      <c r="A25" s="12" t="s">
        <v>19</v>
      </c>
    </row>
    <row r="26" customFormat="false" ht="15" hidden="false" customHeight="false" outlineLevel="0" collapsed="false">
      <c r="A26" s="12" t="s">
        <v>20</v>
      </c>
    </row>
    <row r="27" customFormat="false" ht="15" hidden="false" customHeight="false" outlineLevel="0" collapsed="false">
      <c r="A27" s="12" t="s">
        <v>21</v>
      </c>
    </row>
    <row r="28" customFormat="false" ht="15" hidden="false" customHeight="false" outlineLevel="0" collapsed="false">
      <c r="A28" s="1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13" t="s">
        <v>24</v>
      </c>
      <c r="B2" s="13"/>
      <c r="C2" s="13"/>
      <c r="D2" s="13"/>
      <c r="E2" s="13"/>
    </row>
    <row r="4" customFormat="false" ht="15" hidden="false" customHeight="false" outlineLevel="0" collapsed="false">
      <c r="A4" s="14" t="s">
        <v>25</v>
      </c>
      <c r="B4" s="14" t="s">
        <v>26</v>
      </c>
      <c r="C4" s="14" t="s">
        <v>27</v>
      </c>
    </row>
    <row r="5" customFormat="false" ht="15" hidden="false" customHeight="false" outlineLevel="0" collapsed="false">
      <c r="A5" s="15"/>
      <c r="B5" s="16" t="s">
        <v>28</v>
      </c>
      <c r="C5" s="15"/>
    </row>
    <row r="6" customFormat="false" ht="15" hidden="false" customHeight="false" outlineLevel="0" collapsed="false">
      <c r="A6" s="15"/>
      <c r="B6" s="16" t="s">
        <v>28</v>
      </c>
      <c r="C6" s="15"/>
    </row>
    <row r="7" customFormat="false" ht="15" hidden="false" customHeight="false" outlineLevel="0" collapsed="false">
      <c r="A7" s="15"/>
      <c r="B7" s="16" t="s">
        <v>28</v>
      </c>
      <c r="C7" s="15"/>
    </row>
    <row r="8" customFormat="false" ht="15" hidden="false" customHeight="false" outlineLevel="0" collapsed="false">
      <c r="A8" s="15"/>
      <c r="B8" s="16" t="s">
        <v>28</v>
      </c>
      <c r="C8" s="15"/>
    </row>
    <row r="9" customFormat="false" ht="15" hidden="false" customHeight="false" outlineLevel="0" collapsed="false">
      <c r="A9" s="15"/>
      <c r="B9" s="16" t="s">
        <v>28</v>
      </c>
      <c r="C9" s="15"/>
    </row>
    <row r="10" customFormat="false" ht="15" hidden="false" customHeight="false" outlineLevel="0" collapsed="false">
      <c r="A10" s="15"/>
      <c r="B10" s="16" t="s">
        <v>28</v>
      </c>
      <c r="C10" s="15"/>
    </row>
    <row r="11" customFormat="false" ht="15" hidden="false" customHeight="false" outlineLevel="0" collapsed="false">
      <c r="A11" s="15"/>
      <c r="B11" s="16" t="s">
        <v>28</v>
      </c>
      <c r="C11" s="15"/>
    </row>
    <row r="12" customFormat="false" ht="15" hidden="false" customHeight="false" outlineLevel="0" collapsed="false">
      <c r="A12" s="15"/>
      <c r="B12" s="16" t="s">
        <v>28</v>
      </c>
      <c r="C12" s="15"/>
    </row>
    <row r="13" customFormat="false" ht="15" hidden="false" customHeight="false" outlineLevel="0" collapsed="false">
      <c r="A13" s="15"/>
      <c r="B13" s="16" t="s">
        <v>28</v>
      </c>
      <c r="C13" s="15"/>
    </row>
    <row r="14" customFormat="false" ht="15" hidden="false" customHeight="false" outlineLevel="0" collapsed="false">
      <c r="A14" s="15"/>
      <c r="B14" s="16" t="s">
        <v>28</v>
      </c>
      <c r="C14" s="15"/>
    </row>
    <row r="15" customFormat="false" ht="15" hidden="false" customHeight="false" outlineLevel="0" collapsed="false">
      <c r="A15" s="15"/>
      <c r="B15" s="16" t="s">
        <v>28</v>
      </c>
      <c r="C15" s="15"/>
    </row>
    <row r="16" customFormat="false" ht="15" hidden="false" customHeight="false" outlineLevel="0" collapsed="false">
      <c r="A16" s="15"/>
      <c r="B16" s="16" t="s">
        <v>28</v>
      </c>
      <c r="C16" s="15"/>
    </row>
    <row r="17" customFormat="false" ht="15" hidden="false" customHeight="false" outlineLevel="0" collapsed="false">
      <c r="A17" s="15"/>
      <c r="B17" s="16" t="s">
        <v>28</v>
      </c>
      <c r="C17" s="15"/>
    </row>
    <row r="18" customFormat="false" ht="15" hidden="false" customHeight="false" outlineLevel="0" collapsed="false">
      <c r="A18" s="15"/>
      <c r="B18" s="16" t="s">
        <v>28</v>
      </c>
      <c r="C18" s="15"/>
    </row>
    <row r="19" customFormat="false" ht="15" hidden="false" customHeight="false" outlineLevel="0" collapsed="false">
      <c r="A19" s="15"/>
      <c r="B19" s="16" t="s">
        <v>28</v>
      </c>
      <c r="C19" s="15"/>
    </row>
    <row r="20" customFormat="false" ht="15" hidden="false" customHeight="false" outlineLevel="0" collapsed="false">
      <c r="A20" s="15"/>
      <c r="B20" s="16" t="s">
        <v>28</v>
      </c>
      <c r="C20" s="15"/>
    </row>
    <row r="21" customFormat="false" ht="15" hidden="false" customHeight="false" outlineLevel="0" collapsed="false">
      <c r="A21" s="15"/>
      <c r="B21" s="16" t="s">
        <v>28</v>
      </c>
      <c r="C21" s="15"/>
    </row>
    <row r="22" customFormat="false" ht="15" hidden="false" customHeight="false" outlineLevel="0" collapsed="false">
      <c r="A22" s="15"/>
      <c r="B22" s="16" t="s">
        <v>28</v>
      </c>
      <c r="C22" s="15"/>
    </row>
    <row r="23" customFormat="false" ht="15" hidden="false" customHeight="false" outlineLevel="0" collapsed="false">
      <c r="A23" s="15"/>
      <c r="B23" s="16" t="s">
        <v>28</v>
      </c>
      <c r="C23" s="15"/>
    </row>
    <row r="24" customFormat="false" ht="15" hidden="false" customHeight="false" outlineLevel="0" collapsed="false">
      <c r="A24" s="15"/>
      <c r="B24" s="16" t="s">
        <v>28</v>
      </c>
      <c r="C24" s="15"/>
    </row>
    <row r="25" customFormat="false" ht="15" hidden="false" customHeight="false" outlineLevel="0" collapsed="false">
      <c r="A25" s="15"/>
      <c r="B25" s="16" t="s">
        <v>28</v>
      </c>
      <c r="C25" s="15"/>
    </row>
    <row r="26" customFormat="false" ht="15" hidden="false" customHeight="false" outlineLevel="0" collapsed="false">
      <c r="A26" s="15"/>
      <c r="B26" s="16" t="s">
        <v>28</v>
      </c>
      <c r="C26" s="15"/>
    </row>
    <row r="27" customFormat="false" ht="15" hidden="false" customHeight="false" outlineLevel="0" collapsed="false">
      <c r="A27" s="15"/>
      <c r="B27" s="16" t="s">
        <v>28</v>
      </c>
      <c r="C27" s="15"/>
    </row>
    <row r="28" customFormat="false" ht="15" hidden="false" customHeight="false" outlineLevel="0" collapsed="false">
      <c r="A28" s="15"/>
      <c r="B28" s="16" t="s">
        <v>28</v>
      </c>
      <c r="C28" s="15"/>
    </row>
    <row r="29" customFormat="false" ht="15" hidden="false" customHeight="false" outlineLevel="0" collapsed="false">
      <c r="A29" s="15"/>
      <c r="B29" s="16" t="s">
        <v>28</v>
      </c>
      <c r="C29" s="15"/>
    </row>
    <row r="30" customFormat="false" ht="15" hidden="false" customHeight="false" outlineLevel="0" collapsed="false">
      <c r="A30" s="15"/>
      <c r="B30" s="16" t="s">
        <v>28</v>
      </c>
      <c r="C30" s="15"/>
    </row>
    <row r="31" customFormat="false" ht="15" hidden="false" customHeight="false" outlineLevel="0" collapsed="false">
      <c r="A31" s="15"/>
      <c r="B31" s="16" t="s">
        <v>28</v>
      </c>
      <c r="C31" s="15"/>
    </row>
    <row r="32" customFormat="false" ht="15" hidden="false" customHeight="false" outlineLevel="0" collapsed="false">
      <c r="A32" s="15"/>
      <c r="B32" s="16" t="s">
        <v>28</v>
      </c>
      <c r="C32" s="15"/>
    </row>
    <row r="33" customFormat="false" ht="15" hidden="false" customHeight="false" outlineLevel="0" collapsed="false">
      <c r="A33" s="15"/>
      <c r="B33" s="16" t="s">
        <v>28</v>
      </c>
      <c r="C33" s="15"/>
    </row>
    <row r="34" customFormat="false" ht="15" hidden="false" customHeight="false" outlineLevel="0" collapsed="false">
      <c r="A34" s="15"/>
      <c r="B34" s="16" t="s">
        <v>28</v>
      </c>
      <c r="C34" s="15"/>
    </row>
    <row r="35" customFormat="false" ht="15" hidden="false" customHeight="false" outlineLevel="0" collapsed="false">
      <c r="A35" s="15"/>
      <c r="B35" s="16" t="s">
        <v>28</v>
      </c>
      <c r="C35" s="15"/>
    </row>
    <row r="36" customFormat="false" ht="15" hidden="false" customHeight="false" outlineLevel="0" collapsed="false">
      <c r="A36" s="15"/>
      <c r="B36" s="16" t="s">
        <v>28</v>
      </c>
      <c r="C36" s="15"/>
    </row>
    <row r="37" customFormat="false" ht="15" hidden="false" customHeight="false" outlineLevel="0" collapsed="false">
      <c r="A37" s="15"/>
      <c r="B37" s="16" t="s">
        <v>28</v>
      </c>
      <c r="C37" s="15"/>
    </row>
    <row r="38" customFormat="false" ht="15" hidden="false" customHeight="false" outlineLevel="0" collapsed="false">
      <c r="A38" s="15"/>
      <c r="B38" s="16" t="s">
        <v>28</v>
      </c>
      <c r="C38" s="15"/>
    </row>
    <row r="39" customFormat="false" ht="15" hidden="false" customHeight="false" outlineLevel="0" collapsed="false">
      <c r="A39" s="15"/>
      <c r="B39" s="16" t="s">
        <v>28</v>
      </c>
      <c r="C39" s="15"/>
    </row>
    <row r="40" customFormat="false" ht="15" hidden="false" customHeight="false" outlineLevel="0" collapsed="false">
      <c r="A40" s="15"/>
      <c r="B40" s="16" t="s">
        <v>28</v>
      </c>
      <c r="C40" s="15"/>
    </row>
    <row r="41" customFormat="false" ht="15" hidden="false" customHeight="false" outlineLevel="0" collapsed="false">
      <c r="A41" s="15"/>
      <c r="B41" s="16" t="s">
        <v>28</v>
      </c>
      <c r="C41" s="15"/>
    </row>
    <row r="42" customFormat="false" ht="15" hidden="false" customHeight="false" outlineLevel="0" collapsed="false">
      <c r="A42" s="15"/>
      <c r="B42" s="16" t="s">
        <v>28</v>
      </c>
      <c r="C42" s="15"/>
    </row>
    <row r="43" customFormat="false" ht="15" hidden="false" customHeight="false" outlineLevel="0" collapsed="false">
      <c r="A43" s="15"/>
      <c r="B43" s="16" t="s">
        <v>28</v>
      </c>
      <c r="C43" s="15"/>
    </row>
    <row r="44" customFormat="false" ht="15" hidden="false" customHeight="false" outlineLevel="0" collapsed="false">
      <c r="A44" s="15"/>
      <c r="B44" s="16" t="s">
        <v>28</v>
      </c>
      <c r="C44" s="15"/>
    </row>
    <row r="45" customFormat="false" ht="15" hidden="false" customHeight="false" outlineLevel="0" collapsed="false">
      <c r="A45" s="15"/>
      <c r="B45" s="16" t="s">
        <v>28</v>
      </c>
      <c r="C45" s="15"/>
    </row>
    <row r="46" customFormat="false" ht="15" hidden="false" customHeight="false" outlineLevel="0" collapsed="false">
      <c r="A46" s="15"/>
      <c r="B46" s="16" t="s">
        <v>28</v>
      </c>
      <c r="C46" s="15"/>
    </row>
    <row r="47" customFormat="false" ht="15" hidden="false" customHeight="false" outlineLevel="0" collapsed="false">
      <c r="A47" s="15"/>
      <c r="B47" s="16" t="s">
        <v>28</v>
      </c>
      <c r="C47" s="15"/>
    </row>
    <row r="48" customFormat="false" ht="15" hidden="false" customHeight="false" outlineLevel="0" collapsed="false">
      <c r="A48" s="15"/>
      <c r="B48" s="16" t="s">
        <v>28</v>
      </c>
      <c r="C48" s="15"/>
    </row>
    <row r="49" customFormat="false" ht="15" hidden="false" customHeight="false" outlineLevel="0" collapsed="false">
      <c r="A49" s="15"/>
      <c r="B49" s="16" t="s">
        <v>28</v>
      </c>
      <c r="C49" s="15"/>
    </row>
    <row r="50" customFormat="false" ht="15" hidden="false" customHeight="false" outlineLevel="0" collapsed="false">
      <c r="A50" s="15"/>
      <c r="B50" s="16" t="s">
        <v>28</v>
      </c>
      <c r="C50" s="15"/>
    </row>
    <row r="51" customFormat="false" ht="15" hidden="false" customHeight="false" outlineLevel="0" collapsed="false">
      <c r="A51" s="15"/>
      <c r="B51" s="16" t="s">
        <v>28</v>
      </c>
      <c r="C51" s="15"/>
    </row>
    <row r="52" customFormat="false" ht="15" hidden="false" customHeight="false" outlineLevel="0" collapsed="false">
      <c r="A52" s="15"/>
      <c r="B52" s="16" t="s">
        <v>28</v>
      </c>
      <c r="C52" s="15"/>
    </row>
    <row r="53" customFormat="false" ht="15" hidden="false" customHeight="false" outlineLevel="0" collapsed="false">
      <c r="A53" s="15"/>
      <c r="B53" s="16" t="s">
        <v>28</v>
      </c>
      <c r="C53" s="15"/>
    </row>
    <row r="54" customFormat="false" ht="15" hidden="false" customHeight="false" outlineLevel="0" collapsed="false">
      <c r="A54" s="15"/>
      <c r="B54" s="16" t="s">
        <v>28</v>
      </c>
      <c r="C54" s="15"/>
    </row>
    <row r="55" customFormat="false" ht="15" hidden="false" customHeight="false" outlineLevel="0" collapsed="false">
      <c r="A55" s="15"/>
      <c r="B55" s="16" t="s">
        <v>28</v>
      </c>
      <c r="C55" s="15"/>
    </row>
    <row r="56" customFormat="false" ht="15" hidden="false" customHeight="false" outlineLevel="0" collapsed="false">
      <c r="A56" s="15"/>
      <c r="B56" s="16" t="s">
        <v>28</v>
      </c>
      <c r="C56" s="15"/>
    </row>
    <row r="57" customFormat="false" ht="15" hidden="false" customHeight="false" outlineLevel="0" collapsed="false">
      <c r="A57" s="15"/>
      <c r="B57" s="16" t="s">
        <v>28</v>
      </c>
      <c r="C57" s="15"/>
    </row>
    <row r="58" customFormat="false" ht="15" hidden="false" customHeight="false" outlineLevel="0" collapsed="false">
      <c r="A58" s="15"/>
      <c r="B58" s="16" t="s">
        <v>28</v>
      </c>
      <c r="C58" s="15"/>
    </row>
    <row r="59" customFormat="false" ht="15" hidden="false" customHeight="false" outlineLevel="0" collapsed="false">
      <c r="A59" s="15"/>
      <c r="B59" s="16" t="s">
        <v>28</v>
      </c>
      <c r="C59" s="15"/>
    </row>
    <row r="60" customFormat="false" ht="15" hidden="false" customHeight="false" outlineLevel="0" collapsed="false">
      <c r="A60" s="15"/>
      <c r="B60" s="16" t="s">
        <v>28</v>
      </c>
      <c r="C60" s="15"/>
    </row>
    <row r="61" customFormat="false" ht="15" hidden="false" customHeight="false" outlineLevel="0" collapsed="false">
      <c r="A61" s="15"/>
      <c r="B61" s="16" t="s">
        <v>28</v>
      </c>
      <c r="C61" s="15"/>
    </row>
    <row r="62" customFormat="false" ht="15" hidden="false" customHeight="false" outlineLevel="0" collapsed="false">
      <c r="A62" s="15"/>
      <c r="B62" s="16" t="s">
        <v>28</v>
      </c>
      <c r="C62" s="15"/>
    </row>
    <row r="63" customFormat="false" ht="15" hidden="false" customHeight="false" outlineLevel="0" collapsed="false">
      <c r="A63" s="15"/>
      <c r="B63" s="16" t="s">
        <v>28</v>
      </c>
      <c r="C63" s="15"/>
    </row>
  </sheetData>
  <mergeCells count="1">
    <mergeCell ref="A2:E2"/>
  </mergeCells>
  <conditionalFormatting sqref="A5:C63">
    <cfRule type="expression" priority="2" aboveAverage="0" equalAverage="0" bottom="0" percent="0" rank="0" text="" dxfId="0">
      <formula>$B5="Yes"</formula>
    </cfRule>
  </conditionalFormatting>
  <dataValidations count="3">
    <dataValidation allowBlank="true" errorStyle="stop" operator="between" showDropDown="false" showErrorMessage="false" showInputMessage="false" sqref="A5:A63" type="list">
      <formula1>'Droid Database'!$A$2:$A$52</formula1>
      <formula2>0</formula2>
    </dataValidation>
    <dataValidation allowBlank="true" errorStyle="stop" operator="between" showDropDown="false" showErrorMessage="false" showInputMessage="false" sqref="B5:B63" type="list">
      <formula1>Lists!$D$2:$D$3</formula1>
      <formula2>0</formula2>
    </dataValidation>
    <dataValidation allowBlank="true" errorStyle="stop" operator="between" showDropDown="false" showErrorMessage="false" showInputMessage="false" sqref="C5:C63" type="list">
      <formula1>Lists!$F$2:$F$6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55"/>
  </cols>
  <sheetData>
    <row r="1" customFormat="false" ht="26.85" hidden="false" customHeight="false" outlineLevel="0" collapsed="false">
      <c r="A1" s="14" t="s">
        <v>29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</row>
    <row r="2" customFormat="false" ht="15" hidden="false" customHeight="false" outlineLevel="0" collapsed="false">
      <c r="A2" s="17" t="s">
        <v>40</v>
      </c>
      <c r="B2" s="18" t="s">
        <v>41</v>
      </c>
      <c r="C2" s="18" t="s">
        <v>42</v>
      </c>
      <c r="D2" s="19" t="n">
        <v>2</v>
      </c>
      <c r="E2" s="19" t="n">
        <v>4</v>
      </c>
      <c r="F2" s="19" t="n">
        <v>8</v>
      </c>
      <c r="G2" s="19" t="n">
        <v>16</v>
      </c>
      <c r="H2" s="18" t="str">
        <f aca="false">IFERROR(IF(INDEX('Quick Entry'!$B$2:$B$60,MATCH(A2,'Quick Entry'!$A$2:$A$60,0))="Yes",INDEX('Quick Entry'!$C$2:$C$60,MATCH(A2,'Quick Entry'!$A$2:$A$60,0)),"None"),"None")</f>
        <v>None</v>
      </c>
      <c r="I2" s="17" t="n">
        <f aca="false">IFERROR(VLOOKUP(H2,Lists!$A$2:$B$7,2,FALSE()),0)</f>
        <v>0</v>
      </c>
      <c r="J2" s="17" t="n">
        <f aca="false">IF(H2="None",0,IF(H2="Base",D2,IF(H2="Gold",E2,IF(H2="Diamond",F2,IF(H2="Rainbow",G2,"N/A (TBC)")))))</f>
        <v>0</v>
      </c>
      <c r="K2" s="18"/>
    </row>
    <row r="3" customFormat="false" ht="15" hidden="false" customHeight="false" outlineLevel="0" collapsed="false">
      <c r="A3" s="17" t="s">
        <v>43</v>
      </c>
      <c r="B3" s="18" t="s">
        <v>41</v>
      </c>
      <c r="C3" s="18" t="s">
        <v>42</v>
      </c>
      <c r="D3" s="19" t="n">
        <v>2</v>
      </c>
      <c r="E3" s="19" t="n">
        <v>4</v>
      </c>
      <c r="F3" s="19" t="n">
        <v>8</v>
      </c>
      <c r="G3" s="19" t="n">
        <v>16</v>
      </c>
      <c r="H3" s="18" t="str">
        <f aca="false">IFERROR(IF(INDEX('Quick Entry'!$B$2:$B$60,MATCH(A3,'Quick Entry'!$A$2:$A$60,0))="Yes",INDEX('Quick Entry'!$C$2:$C$60,MATCH(A3,'Quick Entry'!$A$2:$A$60,0)),"None"),"None")</f>
        <v>None</v>
      </c>
      <c r="I3" s="17" t="n">
        <f aca="false">IFERROR(VLOOKUP(H3,Lists!$A$2:$B$7,2,FALSE()),0)</f>
        <v>0</v>
      </c>
      <c r="J3" s="17" t="n">
        <f aca="false">IF(H3="None",0,IF(H3="Base",D3,IF(H3="Gold",E3,IF(H3="Diamond",F3,IF(H3="Rainbow",G3,"N/A (TBC)")))))</f>
        <v>0</v>
      </c>
      <c r="K3" s="18"/>
    </row>
    <row r="4" customFormat="false" ht="15" hidden="false" customHeight="false" outlineLevel="0" collapsed="false">
      <c r="A4" s="17" t="s">
        <v>44</v>
      </c>
      <c r="B4" s="18" t="s">
        <v>41</v>
      </c>
      <c r="C4" s="18" t="s">
        <v>42</v>
      </c>
      <c r="D4" s="19" t="n">
        <v>4</v>
      </c>
      <c r="E4" s="19" t="n">
        <v>8</v>
      </c>
      <c r="F4" s="19" t="n">
        <v>16</v>
      </c>
      <c r="G4" s="19" t="n">
        <v>32</v>
      </c>
      <c r="H4" s="18" t="str">
        <f aca="false">IFERROR(IF(INDEX('Quick Entry'!$B$2:$B$60,MATCH(A4,'Quick Entry'!$A$2:$A$60,0))="Yes",INDEX('Quick Entry'!$C$2:$C$60,MATCH(A4,'Quick Entry'!$A$2:$A$60,0)),"None"),"None")</f>
        <v>None</v>
      </c>
      <c r="I4" s="17" t="n">
        <f aca="false">IFERROR(VLOOKUP(H4,Lists!$A$2:$B$7,2,FALSE()),0)</f>
        <v>0</v>
      </c>
      <c r="J4" s="17" t="n">
        <f aca="false">IF(H4="None",0,IF(H4="Base",D4,IF(H4="Gold",E4,IF(H4="Diamond",F4,IF(H4="Rainbow",G4,"N/A (TBC)")))))</f>
        <v>0</v>
      </c>
      <c r="K4" s="18"/>
    </row>
    <row r="5" customFormat="false" ht="15" hidden="false" customHeight="false" outlineLevel="0" collapsed="false">
      <c r="A5" s="17" t="s">
        <v>45</v>
      </c>
      <c r="B5" s="18" t="s">
        <v>46</v>
      </c>
      <c r="C5" s="18" t="s">
        <v>42</v>
      </c>
      <c r="D5" s="19" t="n">
        <v>3</v>
      </c>
      <c r="E5" s="19" t="n">
        <v>6</v>
      </c>
      <c r="F5" s="19" t="n">
        <v>12</v>
      </c>
      <c r="G5" s="19" t="n">
        <v>24</v>
      </c>
      <c r="H5" s="18" t="str">
        <f aca="false">IFERROR(IF(INDEX('Quick Entry'!$B$2:$B$60,MATCH(A5,'Quick Entry'!$A$2:$A$60,0))="Yes",INDEX('Quick Entry'!$C$2:$C$60,MATCH(A5,'Quick Entry'!$A$2:$A$60,0)),"None"),"None")</f>
        <v>None</v>
      </c>
      <c r="I5" s="17" t="n">
        <f aca="false">IFERROR(VLOOKUP(H5,Lists!$A$2:$B$7,2,FALSE()),0)</f>
        <v>0</v>
      </c>
      <c r="J5" s="17" t="n">
        <f aca="false">IF(H5="None",0,IF(H5="Base",D5,IF(H5="Gold",E5,IF(H5="Diamond",F5,IF(H5="Rainbow",G5,"N/A (TBC)")))))</f>
        <v>0</v>
      </c>
      <c r="K5" s="18"/>
    </row>
    <row r="6" customFormat="false" ht="15" hidden="false" customHeight="false" outlineLevel="0" collapsed="false">
      <c r="A6" s="17" t="s">
        <v>47</v>
      </c>
      <c r="B6" s="18" t="s">
        <v>46</v>
      </c>
      <c r="C6" s="18" t="s">
        <v>42</v>
      </c>
      <c r="D6" s="19" t="n">
        <v>3</v>
      </c>
      <c r="E6" s="19" t="n">
        <v>6</v>
      </c>
      <c r="F6" s="19" t="n">
        <v>12</v>
      </c>
      <c r="G6" s="19" t="n">
        <v>24</v>
      </c>
      <c r="H6" s="18" t="str">
        <f aca="false">IFERROR(IF(INDEX('Quick Entry'!$B$2:$B$60,MATCH(A6,'Quick Entry'!$A$2:$A$60,0))="Yes",INDEX('Quick Entry'!$C$2:$C$60,MATCH(A6,'Quick Entry'!$A$2:$A$60,0)),"None"),"None")</f>
        <v>None</v>
      </c>
      <c r="I6" s="17" t="n">
        <f aca="false">IFERROR(VLOOKUP(H6,Lists!$A$2:$B$7,2,FALSE()),0)</f>
        <v>0</v>
      </c>
      <c r="J6" s="17" t="n">
        <f aca="false">IF(H6="None",0,IF(H6="Base",D6,IF(H6="Gold",E6,IF(H6="Diamond",F6,IF(H6="Rainbow",G6,"N/A (TBC)")))))</f>
        <v>0</v>
      </c>
      <c r="K6" s="18"/>
    </row>
    <row r="7" customFormat="false" ht="15" hidden="false" customHeight="false" outlineLevel="0" collapsed="false">
      <c r="A7" s="17" t="s">
        <v>48</v>
      </c>
      <c r="B7" s="18" t="s">
        <v>46</v>
      </c>
      <c r="C7" s="18" t="s">
        <v>42</v>
      </c>
      <c r="D7" s="19" t="n">
        <v>3</v>
      </c>
      <c r="E7" s="19" t="n">
        <v>6</v>
      </c>
      <c r="F7" s="19" t="n">
        <v>12</v>
      </c>
      <c r="G7" s="19" t="n">
        <v>24</v>
      </c>
      <c r="H7" s="18" t="str">
        <f aca="false">IFERROR(IF(INDEX('Quick Entry'!$B$2:$B$60,MATCH(A7,'Quick Entry'!$A$2:$A$60,0))="Yes",INDEX('Quick Entry'!$C$2:$C$60,MATCH(A7,'Quick Entry'!$A$2:$A$60,0)),"None"),"None")</f>
        <v>None</v>
      </c>
      <c r="I7" s="17" t="n">
        <f aca="false">IFERROR(VLOOKUP(H7,Lists!$A$2:$B$7,2,FALSE()),0)</f>
        <v>0</v>
      </c>
      <c r="J7" s="17" t="n">
        <f aca="false">IF(H7="None",0,IF(H7="Base",D7,IF(H7="Gold",E7,IF(H7="Diamond",F7,IF(H7="Rainbow",G7,"N/A (TBC)")))))</f>
        <v>0</v>
      </c>
      <c r="K7" s="18"/>
    </row>
    <row r="8" customFormat="false" ht="15" hidden="false" customHeight="false" outlineLevel="0" collapsed="false">
      <c r="A8" s="17" t="s">
        <v>49</v>
      </c>
      <c r="B8" s="18" t="s">
        <v>46</v>
      </c>
      <c r="C8" s="18" t="s">
        <v>42</v>
      </c>
      <c r="D8" s="19" t="n">
        <v>4</v>
      </c>
      <c r="E8" s="19" t="n">
        <v>8</v>
      </c>
      <c r="F8" s="19" t="n">
        <v>16</v>
      </c>
      <c r="G8" s="19" t="n">
        <v>32</v>
      </c>
      <c r="H8" s="18" t="str">
        <f aca="false">IFERROR(IF(INDEX('Quick Entry'!$B$2:$B$60,MATCH(A8,'Quick Entry'!$A$2:$A$60,0))="Yes",INDEX('Quick Entry'!$C$2:$C$60,MATCH(A8,'Quick Entry'!$A$2:$A$60,0)),"None"),"None")</f>
        <v>None</v>
      </c>
      <c r="I8" s="17" t="n">
        <f aca="false">IFERROR(VLOOKUP(H8,Lists!$A$2:$B$7,2,FALSE()),0)</f>
        <v>0</v>
      </c>
      <c r="J8" s="17" t="n">
        <f aca="false">IF(H8="None",0,IF(H8="Base",D8,IF(H8="Gold",E8,IF(H8="Diamond",F8,IF(H8="Rainbow",G8,"N/A (TBC)")))))</f>
        <v>0</v>
      </c>
      <c r="K8" s="18"/>
    </row>
    <row r="9" customFormat="false" ht="15" hidden="false" customHeight="false" outlineLevel="0" collapsed="false">
      <c r="A9" s="17" t="s">
        <v>50</v>
      </c>
      <c r="B9" s="18" t="s">
        <v>51</v>
      </c>
      <c r="C9" s="18" t="s">
        <v>42</v>
      </c>
      <c r="D9" s="19" t="n">
        <v>6</v>
      </c>
      <c r="E9" s="19" t="n">
        <v>12</v>
      </c>
      <c r="F9" s="19" t="n">
        <v>24</v>
      </c>
      <c r="G9" s="19" t="n">
        <v>48</v>
      </c>
      <c r="H9" s="18" t="str">
        <f aca="false">IFERROR(IF(INDEX('Quick Entry'!$B$2:$B$60,MATCH(A9,'Quick Entry'!$A$2:$A$60,0))="Yes",INDEX('Quick Entry'!$C$2:$C$60,MATCH(A9,'Quick Entry'!$A$2:$A$60,0)),"None"),"None")</f>
        <v>None</v>
      </c>
      <c r="I9" s="17" t="n">
        <f aca="false">IFERROR(VLOOKUP(H9,Lists!$A$2:$B$7,2,FALSE()),0)</f>
        <v>0</v>
      </c>
      <c r="J9" s="17" t="n">
        <f aca="false">IF(H9="None",0,IF(H9="Base",D9,IF(H9="Gold",E9,IF(H9="Diamond",F9,IF(H9="Rainbow",G9,"N/A (TBC)")))))</f>
        <v>0</v>
      </c>
      <c r="K9" s="18"/>
    </row>
    <row r="10" customFormat="false" ht="15" hidden="false" customHeight="false" outlineLevel="0" collapsed="false">
      <c r="A10" s="17" t="s">
        <v>52</v>
      </c>
      <c r="B10" s="18" t="s">
        <v>51</v>
      </c>
      <c r="C10" s="18" t="s">
        <v>42</v>
      </c>
      <c r="D10" s="19" t="n">
        <v>5</v>
      </c>
      <c r="E10" s="19" t="n">
        <v>10</v>
      </c>
      <c r="F10" s="19" t="n">
        <v>20</v>
      </c>
      <c r="G10" s="19" t="n">
        <v>40</v>
      </c>
      <c r="H10" s="18" t="str">
        <f aca="false">IFERROR(IF(INDEX('Quick Entry'!$B$2:$B$60,MATCH(A10,'Quick Entry'!$A$2:$A$60,0))="Yes",INDEX('Quick Entry'!$C$2:$C$60,MATCH(A10,'Quick Entry'!$A$2:$A$60,0)),"None"),"None")</f>
        <v>None</v>
      </c>
      <c r="I10" s="17" t="n">
        <f aca="false">IFERROR(VLOOKUP(H10,Lists!$A$2:$B$7,2,FALSE()),0)</f>
        <v>0</v>
      </c>
      <c r="J10" s="17" t="n">
        <f aca="false">IF(H10="None",0,IF(H10="Base",D10,IF(H10="Gold",E10,IF(H10="Diamond",F10,IF(H10="Rainbow",G10,"N/A (TBC)")))))</f>
        <v>0</v>
      </c>
      <c r="K10" s="18"/>
    </row>
    <row r="11" customFormat="false" ht="15" hidden="false" customHeight="false" outlineLevel="0" collapsed="false">
      <c r="A11" s="17" t="s">
        <v>53</v>
      </c>
      <c r="B11" s="18" t="s">
        <v>51</v>
      </c>
      <c r="C11" s="18" t="s">
        <v>42</v>
      </c>
      <c r="D11" s="19" t="n">
        <v>3</v>
      </c>
      <c r="E11" s="19" t="n">
        <v>6</v>
      </c>
      <c r="F11" s="19" t="n">
        <v>12</v>
      </c>
      <c r="G11" s="19" t="n">
        <v>24</v>
      </c>
      <c r="H11" s="18" t="str">
        <f aca="false">IFERROR(IF(INDEX('Quick Entry'!$B$2:$B$60,MATCH(A11,'Quick Entry'!$A$2:$A$60,0))="Yes",INDEX('Quick Entry'!$C$2:$C$60,MATCH(A11,'Quick Entry'!$A$2:$A$60,0)),"None"),"None")</f>
        <v>None</v>
      </c>
      <c r="I11" s="17" t="n">
        <f aca="false">IFERROR(VLOOKUP(H11,Lists!$A$2:$B$7,2,FALSE()),0)</f>
        <v>0</v>
      </c>
      <c r="J11" s="17" t="n">
        <f aca="false">IF(H11="None",0,IF(H11="Base",D11,IF(H11="Gold",E11,IF(H11="Diamond",F11,IF(H11="Rainbow",G11,"N/A (TBC)")))))</f>
        <v>0</v>
      </c>
      <c r="K11" s="18"/>
    </row>
    <row r="12" customFormat="false" ht="15" hidden="false" customHeight="false" outlineLevel="0" collapsed="false">
      <c r="A12" s="17" t="s">
        <v>54</v>
      </c>
      <c r="B12" s="18" t="s">
        <v>51</v>
      </c>
      <c r="C12" s="18" t="s">
        <v>42</v>
      </c>
      <c r="D12" s="19" t="n">
        <v>4</v>
      </c>
      <c r="E12" s="19" t="n">
        <v>8</v>
      </c>
      <c r="F12" s="19" t="n">
        <v>16</v>
      </c>
      <c r="G12" s="19" t="n">
        <v>32</v>
      </c>
      <c r="H12" s="18" t="str">
        <f aca="false">IFERROR(IF(INDEX('Quick Entry'!$B$2:$B$60,MATCH(A12,'Quick Entry'!$A$2:$A$60,0))="Yes",INDEX('Quick Entry'!$C$2:$C$60,MATCH(A12,'Quick Entry'!$A$2:$A$60,0)),"None"),"None")</f>
        <v>None</v>
      </c>
      <c r="I12" s="17" t="n">
        <f aca="false">IFERROR(VLOOKUP(H12,Lists!$A$2:$B$7,2,FALSE()),0)</f>
        <v>0</v>
      </c>
      <c r="J12" s="17" t="n">
        <f aca="false">IF(H12="None",0,IF(H12="Base",D12,IF(H12="Gold",E12,IF(H12="Diamond",F12,IF(H12="Rainbow",G12,"N/A (TBC)")))))</f>
        <v>0</v>
      </c>
      <c r="K12" s="18"/>
    </row>
    <row r="13" customFormat="false" ht="15" hidden="false" customHeight="false" outlineLevel="0" collapsed="false">
      <c r="A13" s="17" t="s">
        <v>55</v>
      </c>
      <c r="B13" s="18" t="s">
        <v>41</v>
      </c>
      <c r="C13" s="18" t="s">
        <v>56</v>
      </c>
      <c r="D13" s="19" t="n">
        <v>15</v>
      </c>
      <c r="E13" s="19" t="n">
        <v>30</v>
      </c>
      <c r="F13" s="19" t="n">
        <v>60</v>
      </c>
      <c r="G13" s="19" t="n">
        <v>120</v>
      </c>
      <c r="H13" s="18" t="str">
        <f aca="false">IFERROR(IF(INDEX('Quick Entry'!$B$2:$B$60,MATCH(A13,'Quick Entry'!$A$2:$A$60,0))="Yes",INDEX('Quick Entry'!$C$2:$C$60,MATCH(A13,'Quick Entry'!$A$2:$A$60,0)),"None"),"None")</f>
        <v>None</v>
      </c>
      <c r="I13" s="17" t="n">
        <f aca="false">IFERROR(VLOOKUP(H13,Lists!$A$2:$B$7,2,FALSE()),0)</f>
        <v>0</v>
      </c>
      <c r="J13" s="17" t="n">
        <f aca="false">IF(H13="None",0,IF(H13="Base",D13,IF(H13="Gold",E13,IF(H13="Diamond",F13,IF(H13="Rainbow",G13,"N/A (TBC)")))))</f>
        <v>0</v>
      </c>
      <c r="K13" s="18"/>
    </row>
    <row r="14" customFormat="false" ht="15" hidden="false" customHeight="false" outlineLevel="0" collapsed="false">
      <c r="A14" s="17" t="s">
        <v>57</v>
      </c>
      <c r="B14" s="18" t="s">
        <v>41</v>
      </c>
      <c r="C14" s="18" t="s">
        <v>56</v>
      </c>
      <c r="D14" s="19" t="n">
        <v>42</v>
      </c>
      <c r="E14" s="19" t="n">
        <v>84</v>
      </c>
      <c r="F14" s="19" t="n">
        <v>168</v>
      </c>
      <c r="G14" s="19" t="n">
        <v>336</v>
      </c>
      <c r="H14" s="18" t="str">
        <f aca="false">IFERROR(IF(INDEX('Quick Entry'!$B$2:$B$60,MATCH(A14,'Quick Entry'!$A$2:$A$60,0))="Yes",INDEX('Quick Entry'!$C$2:$C$60,MATCH(A14,'Quick Entry'!$A$2:$A$60,0)),"None"),"None")</f>
        <v>None</v>
      </c>
      <c r="I14" s="17" t="n">
        <f aca="false">IFERROR(VLOOKUP(H14,Lists!$A$2:$B$7,2,FALSE()),0)</f>
        <v>0</v>
      </c>
      <c r="J14" s="17" t="n">
        <f aca="false">IF(H14="None",0,IF(H14="Base",D14,IF(H14="Gold",E14,IF(H14="Diamond",F14,IF(H14="Rainbow",G14,"N/A (TBC)")))))</f>
        <v>0</v>
      </c>
      <c r="K14" s="18"/>
    </row>
    <row r="15" customFormat="false" ht="15" hidden="false" customHeight="false" outlineLevel="0" collapsed="false">
      <c r="A15" s="17" t="s">
        <v>58</v>
      </c>
      <c r="B15" s="18" t="s">
        <v>41</v>
      </c>
      <c r="C15" s="18" t="s">
        <v>56</v>
      </c>
      <c r="D15" s="19" t="n">
        <v>46</v>
      </c>
      <c r="E15" s="19" t="n">
        <v>92</v>
      </c>
      <c r="F15" s="19" t="n">
        <v>184</v>
      </c>
      <c r="G15" s="19" t="n">
        <v>368</v>
      </c>
      <c r="H15" s="18" t="str">
        <f aca="false">IFERROR(IF(INDEX('Quick Entry'!$B$2:$B$60,MATCH(A15,'Quick Entry'!$A$2:$A$60,0))="Yes",INDEX('Quick Entry'!$C$2:$C$60,MATCH(A15,'Quick Entry'!$A$2:$A$60,0)),"None"),"None")</f>
        <v>None</v>
      </c>
      <c r="I15" s="17" t="n">
        <f aca="false">IFERROR(VLOOKUP(H15,Lists!$A$2:$B$7,2,FALSE()),0)</f>
        <v>0</v>
      </c>
      <c r="J15" s="17" t="n">
        <f aca="false">IF(H15="None",0,IF(H15="Base",D15,IF(H15="Gold",E15,IF(H15="Diamond",F15,IF(H15="Rainbow",G15,"N/A (TBC)")))))</f>
        <v>0</v>
      </c>
      <c r="K15" s="18"/>
    </row>
    <row r="16" customFormat="false" ht="15" hidden="false" customHeight="false" outlineLevel="0" collapsed="false">
      <c r="A16" s="17" t="s">
        <v>59</v>
      </c>
      <c r="B16" s="18" t="s">
        <v>41</v>
      </c>
      <c r="C16" s="18" t="s">
        <v>56</v>
      </c>
      <c r="D16" s="19" t="n">
        <v>58</v>
      </c>
      <c r="E16" s="19" t="n">
        <v>116</v>
      </c>
      <c r="F16" s="19" t="n">
        <v>232</v>
      </c>
      <c r="G16" s="19" t="n">
        <v>464</v>
      </c>
      <c r="H16" s="18" t="str">
        <f aca="false">IFERROR(IF(INDEX('Quick Entry'!$B$2:$B$60,MATCH(A16,'Quick Entry'!$A$2:$A$60,0))="Yes",INDEX('Quick Entry'!$C$2:$C$60,MATCH(A16,'Quick Entry'!$A$2:$A$60,0)),"None"),"None")</f>
        <v>None</v>
      </c>
      <c r="I16" s="17" t="n">
        <f aca="false">IFERROR(VLOOKUP(H16,Lists!$A$2:$B$7,2,FALSE()),0)</f>
        <v>0</v>
      </c>
      <c r="J16" s="17" t="n">
        <f aca="false">IF(H16="None",0,IF(H16="Base",D16,IF(H16="Gold",E16,IF(H16="Diamond",F16,IF(H16="Rainbow",G16,"N/A (TBC)")))))</f>
        <v>0</v>
      </c>
      <c r="K16" s="18"/>
    </row>
    <row r="17" customFormat="false" ht="15" hidden="false" customHeight="false" outlineLevel="0" collapsed="false">
      <c r="A17" s="17" t="s">
        <v>60</v>
      </c>
      <c r="B17" s="18" t="s">
        <v>41</v>
      </c>
      <c r="C17" s="18" t="s">
        <v>56</v>
      </c>
      <c r="D17" s="19" t="n">
        <v>23</v>
      </c>
      <c r="E17" s="19" t="n">
        <v>46</v>
      </c>
      <c r="F17" s="19" t="n">
        <v>92</v>
      </c>
      <c r="G17" s="19" t="n">
        <v>184</v>
      </c>
      <c r="H17" s="18" t="str">
        <f aca="false">IFERROR(IF(INDEX('Quick Entry'!$B$2:$B$60,MATCH(A17,'Quick Entry'!$A$2:$A$60,0))="Yes",INDEX('Quick Entry'!$C$2:$C$60,MATCH(A17,'Quick Entry'!$A$2:$A$60,0)),"None"),"None")</f>
        <v>None</v>
      </c>
      <c r="I17" s="17" t="n">
        <f aca="false">IFERROR(VLOOKUP(H17,Lists!$A$2:$B$7,2,FALSE()),0)</f>
        <v>0</v>
      </c>
      <c r="J17" s="17" t="n">
        <f aca="false">IF(H17="None",0,IF(H17="Base",D17,IF(H17="Gold",E17,IF(H17="Diamond",F17,IF(H17="Rainbow",G17,"N/A (TBC)")))))</f>
        <v>0</v>
      </c>
      <c r="K17" s="18"/>
    </row>
    <row r="18" customFormat="false" ht="15" hidden="false" customHeight="false" outlineLevel="0" collapsed="false">
      <c r="A18" s="17" t="s">
        <v>61</v>
      </c>
      <c r="B18" s="18" t="s">
        <v>41</v>
      </c>
      <c r="C18" s="18" t="s">
        <v>56</v>
      </c>
      <c r="D18" s="19" t="n">
        <v>31</v>
      </c>
      <c r="E18" s="19" t="n">
        <v>62</v>
      </c>
      <c r="F18" s="19" t="n">
        <v>124</v>
      </c>
      <c r="G18" s="19" t="n">
        <v>248</v>
      </c>
      <c r="H18" s="18" t="str">
        <f aca="false">IFERROR(IF(INDEX('Quick Entry'!$B$2:$B$60,MATCH(A18,'Quick Entry'!$A$2:$A$60,0))="Yes",INDEX('Quick Entry'!$C$2:$C$60,MATCH(A18,'Quick Entry'!$A$2:$A$60,0)),"None"),"None")</f>
        <v>None</v>
      </c>
      <c r="I18" s="17" t="n">
        <f aca="false">IFERROR(VLOOKUP(H18,Lists!$A$2:$B$7,2,FALSE()),0)</f>
        <v>0</v>
      </c>
      <c r="J18" s="17" t="n">
        <f aca="false">IF(H18="None",0,IF(H18="Base",D18,IF(H18="Gold",E18,IF(H18="Diamond",F18,IF(H18="Rainbow",G18,"N/A (TBC)")))))</f>
        <v>0</v>
      </c>
      <c r="K18" s="18"/>
    </row>
    <row r="19" customFormat="false" ht="15" hidden="false" customHeight="false" outlineLevel="0" collapsed="false">
      <c r="A19" s="17" t="s">
        <v>62</v>
      </c>
      <c r="B19" s="18" t="s">
        <v>46</v>
      </c>
      <c r="C19" s="18" t="s">
        <v>56</v>
      </c>
      <c r="D19" s="19" t="n">
        <v>17</v>
      </c>
      <c r="E19" s="19" t="n">
        <v>34</v>
      </c>
      <c r="F19" s="19" t="n">
        <v>68</v>
      </c>
      <c r="G19" s="19" t="n">
        <v>136</v>
      </c>
      <c r="H19" s="18" t="str">
        <f aca="false">IFERROR(IF(INDEX('Quick Entry'!$B$2:$B$60,MATCH(A19,'Quick Entry'!$A$2:$A$60,0))="Yes",INDEX('Quick Entry'!$C$2:$C$60,MATCH(A19,'Quick Entry'!$A$2:$A$60,0)),"None"),"None")</f>
        <v>None</v>
      </c>
      <c r="I19" s="17" t="n">
        <f aca="false">IFERROR(VLOOKUP(H19,Lists!$A$2:$B$7,2,FALSE()),0)</f>
        <v>0</v>
      </c>
      <c r="J19" s="17" t="n">
        <f aca="false">IF(H19="None",0,IF(H19="Base",D19,IF(H19="Gold",E19,IF(H19="Diamond",F19,IF(H19="Rainbow",G19,"N/A (TBC)")))))</f>
        <v>0</v>
      </c>
      <c r="K19" s="18"/>
    </row>
    <row r="20" customFormat="false" ht="15" hidden="false" customHeight="false" outlineLevel="0" collapsed="false">
      <c r="A20" s="17" t="s">
        <v>63</v>
      </c>
      <c r="B20" s="18" t="s">
        <v>46</v>
      </c>
      <c r="C20" s="18" t="s">
        <v>56</v>
      </c>
      <c r="D20" s="19" t="n">
        <v>36</v>
      </c>
      <c r="E20" s="19" t="n">
        <v>72</v>
      </c>
      <c r="F20" s="19" t="n">
        <v>144</v>
      </c>
      <c r="G20" s="19" t="n">
        <v>288</v>
      </c>
      <c r="H20" s="18" t="str">
        <f aca="false">IFERROR(IF(INDEX('Quick Entry'!$B$2:$B$60,MATCH(A20,'Quick Entry'!$A$2:$A$60,0))="Yes",INDEX('Quick Entry'!$C$2:$C$60,MATCH(A20,'Quick Entry'!$A$2:$A$60,0)),"None"),"None")</f>
        <v>None</v>
      </c>
      <c r="I20" s="17" t="n">
        <f aca="false">IFERROR(VLOOKUP(H20,Lists!$A$2:$B$7,2,FALSE()),0)</f>
        <v>0</v>
      </c>
      <c r="J20" s="17" t="n">
        <f aca="false">IF(H20="None",0,IF(H20="Base",D20,IF(H20="Gold",E20,IF(H20="Diamond",F20,IF(H20="Rainbow",G20,"N/A (TBC)")))))</f>
        <v>0</v>
      </c>
      <c r="K20" s="18"/>
    </row>
    <row r="21" customFormat="false" ht="15" hidden="false" customHeight="false" outlineLevel="0" collapsed="false">
      <c r="A21" s="17" t="s">
        <v>64</v>
      </c>
      <c r="B21" s="18" t="s">
        <v>46</v>
      </c>
      <c r="C21" s="18" t="s">
        <v>56</v>
      </c>
      <c r="D21" s="19" t="n">
        <v>50</v>
      </c>
      <c r="E21" s="19" t="n">
        <v>100</v>
      </c>
      <c r="F21" s="19" t="n">
        <v>200</v>
      </c>
      <c r="G21" s="19" t="n">
        <v>400</v>
      </c>
      <c r="H21" s="18" t="str">
        <f aca="false">IFERROR(IF(INDEX('Quick Entry'!$B$2:$B$60,MATCH(A21,'Quick Entry'!$A$2:$A$60,0))="Yes",INDEX('Quick Entry'!$C$2:$C$60,MATCH(A21,'Quick Entry'!$A$2:$A$60,0)),"None"),"None")</f>
        <v>None</v>
      </c>
      <c r="I21" s="17" t="n">
        <f aca="false">IFERROR(VLOOKUP(H21,Lists!$A$2:$B$7,2,FALSE()),0)</f>
        <v>0</v>
      </c>
      <c r="J21" s="17" t="n">
        <f aca="false">IF(H21="None",0,IF(H21="Base",D21,IF(H21="Gold",E21,IF(H21="Diamond",F21,IF(H21="Rainbow",G21,"N/A (TBC)")))))</f>
        <v>0</v>
      </c>
      <c r="K21" s="18"/>
    </row>
    <row r="22" customFormat="false" ht="15" hidden="false" customHeight="false" outlineLevel="0" collapsed="false">
      <c r="A22" s="17" t="s">
        <v>65</v>
      </c>
      <c r="B22" s="18" t="s">
        <v>46</v>
      </c>
      <c r="C22" s="18" t="s">
        <v>56</v>
      </c>
      <c r="D22" s="19" t="n">
        <v>54</v>
      </c>
      <c r="E22" s="19" t="n">
        <v>108</v>
      </c>
      <c r="F22" s="19" t="n">
        <v>216</v>
      </c>
      <c r="G22" s="19" t="n">
        <v>432</v>
      </c>
      <c r="H22" s="18" t="str">
        <f aca="false">IFERROR(IF(INDEX('Quick Entry'!$B$2:$B$60,MATCH(A22,'Quick Entry'!$A$2:$A$60,0))="Yes",INDEX('Quick Entry'!$C$2:$C$60,MATCH(A22,'Quick Entry'!$A$2:$A$60,0)),"None"),"None")</f>
        <v>None</v>
      </c>
      <c r="I22" s="17" t="n">
        <f aca="false">IFERROR(VLOOKUP(H22,Lists!$A$2:$B$7,2,FALSE()),0)</f>
        <v>0</v>
      </c>
      <c r="J22" s="17" t="n">
        <f aca="false">IF(H22="None",0,IF(H22="Base",D22,IF(H22="Gold",E22,IF(H22="Diamond",F22,IF(H22="Rainbow",G22,"N/A (TBC)")))))</f>
        <v>0</v>
      </c>
      <c r="K22" s="18"/>
    </row>
    <row r="23" customFormat="false" ht="15" hidden="false" customHeight="false" outlineLevel="0" collapsed="false">
      <c r="A23" s="17" t="s">
        <v>66</v>
      </c>
      <c r="B23" s="18" t="s">
        <v>51</v>
      </c>
      <c r="C23" s="18" t="s">
        <v>56</v>
      </c>
      <c r="D23" s="19" t="n">
        <v>66</v>
      </c>
      <c r="E23" s="19" t="n">
        <v>132</v>
      </c>
      <c r="F23" s="19" t="n">
        <v>264</v>
      </c>
      <c r="G23" s="19" t="n">
        <v>528</v>
      </c>
      <c r="H23" s="18" t="str">
        <f aca="false">IFERROR(IF(INDEX('Quick Entry'!$B$2:$B$60,MATCH(A23,'Quick Entry'!$A$2:$A$60,0))="Yes",INDEX('Quick Entry'!$C$2:$C$60,MATCH(A23,'Quick Entry'!$A$2:$A$60,0)),"None"),"None")</f>
        <v>None</v>
      </c>
      <c r="I23" s="17" t="n">
        <f aca="false">IFERROR(VLOOKUP(H23,Lists!$A$2:$B$7,2,FALSE()),0)</f>
        <v>0</v>
      </c>
      <c r="J23" s="17" t="n">
        <f aca="false">IF(H23="None",0,IF(H23="Base",D23,IF(H23="Gold",E23,IF(H23="Diamond",F23,IF(H23="Rainbow",G23,"N/A (TBC)")))))</f>
        <v>0</v>
      </c>
      <c r="K23" s="18"/>
    </row>
    <row r="24" customFormat="false" ht="15" hidden="false" customHeight="false" outlineLevel="0" collapsed="false">
      <c r="A24" s="17" t="s">
        <v>67</v>
      </c>
      <c r="B24" s="18" t="s">
        <v>51</v>
      </c>
      <c r="C24" s="18" t="s">
        <v>56</v>
      </c>
      <c r="D24" s="19" t="n">
        <v>18</v>
      </c>
      <c r="E24" s="19" t="n">
        <v>36</v>
      </c>
      <c r="F24" s="19" t="n">
        <v>72</v>
      </c>
      <c r="G24" s="19" t="n">
        <v>144</v>
      </c>
      <c r="H24" s="18" t="str">
        <f aca="false">IFERROR(IF(INDEX('Quick Entry'!$B$2:$B$60,MATCH(A24,'Quick Entry'!$A$2:$A$60,0))="Yes",INDEX('Quick Entry'!$C$2:$C$60,MATCH(A24,'Quick Entry'!$A$2:$A$60,0)),"None"),"None")</f>
        <v>None</v>
      </c>
      <c r="I24" s="17" t="n">
        <f aca="false">IFERROR(VLOOKUP(H24,Lists!$A$2:$B$7,2,FALSE()),0)</f>
        <v>0</v>
      </c>
      <c r="J24" s="17" t="n">
        <f aca="false">IF(H24="None",0,IF(H24="Base",D24,IF(H24="Gold",E24,IF(H24="Diamond",F24,IF(H24="Rainbow",G24,"N/A (TBC)")))))</f>
        <v>0</v>
      </c>
      <c r="K24" s="18"/>
    </row>
    <row r="25" customFormat="false" ht="15" hidden="false" customHeight="false" outlineLevel="0" collapsed="false">
      <c r="A25" s="17" t="s">
        <v>68</v>
      </c>
      <c r="B25" s="18" t="s">
        <v>51</v>
      </c>
      <c r="C25" s="18" t="s">
        <v>56</v>
      </c>
      <c r="D25" s="19" t="n">
        <v>27</v>
      </c>
      <c r="E25" s="19" t="n">
        <v>54</v>
      </c>
      <c r="F25" s="19" t="n">
        <v>108</v>
      </c>
      <c r="G25" s="19" t="n">
        <v>216</v>
      </c>
      <c r="H25" s="18" t="str">
        <f aca="false">IFERROR(IF(INDEX('Quick Entry'!$B$2:$B$60,MATCH(A25,'Quick Entry'!$A$2:$A$60,0))="Yes",INDEX('Quick Entry'!$C$2:$C$60,MATCH(A25,'Quick Entry'!$A$2:$A$60,0)),"None"),"None")</f>
        <v>None</v>
      </c>
      <c r="I25" s="17" t="n">
        <f aca="false">IFERROR(VLOOKUP(H25,Lists!$A$2:$B$7,2,FALSE()),0)</f>
        <v>0</v>
      </c>
      <c r="J25" s="17" t="n">
        <f aca="false">IF(H25="None",0,IF(H25="Base",D25,IF(H25="Gold",E25,IF(H25="Diamond",F25,IF(H25="Rainbow",G25,"N/A (TBC)")))))</f>
        <v>0</v>
      </c>
      <c r="K25" s="18"/>
    </row>
    <row r="26" customFormat="false" ht="15" hidden="false" customHeight="false" outlineLevel="0" collapsed="false">
      <c r="A26" s="17" t="s">
        <v>69</v>
      </c>
      <c r="B26" s="18" t="s">
        <v>51</v>
      </c>
      <c r="C26" s="18" t="s">
        <v>56</v>
      </c>
      <c r="D26" s="19" t="n">
        <v>62</v>
      </c>
      <c r="E26" s="19" t="n">
        <v>124</v>
      </c>
      <c r="F26" s="19" t="n">
        <v>248</v>
      </c>
      <c r="G26" s="19" t="n">
        <v>496</v>
      </c>
      <c r="H26" s="18" t="str">
        <f aca="false">IFERROR(IF(INDEX('Quick Entry'!$B$2:$B$60,MATCH(A26,'Quick Entry'!$A$2:$A$60,0))="Yes",INDEX('Quick Entry'!$C$2:$C$60,MATCH(A26,'Quick Entry'!$A$2:$A$60,0)),"None"),"None")</f>
        <v>None</v>
      </c>
      <c r="I26" s="17" t="n">
        <f aca="false">IFERROR(VLOOKUP(H26,Lists!$A$2:$B$7,2,FALSE()),0)</f>
        <v>0</v>
      </c>
      <c r="J26" s="17" t="n">
        <f aca="false">IF(H26="None",0,IF(H26="Base",D26,IF(H26="Gold",E26,IF(H26="Diamond",F26,IF(H26="Rainbow",G26,"N/A (TBC)")))))</f>
        <v>0</v>
      </c>
      <c r="K26" s="18"/>
    </row>
    <row r="27" customFormat="false" ht="15" hidden="false" customHeight="false" outlineLevel="0" collapsed="false">
      <c r="A27" s="17" t="s">
        <v>70</v>
      </c>
      <c r="B27" s="18" t="s">
        <v>41</v>
      </c>
      <c r="C27" s="18" t="s">
        <v>71</v>
      </c>
      <c r="D27" s="19" t="n">
        <v>120</v>
      </c>
      <c r="E27" s="19" t="n">
        <v>240</v>
      </c>
      <c r="F27" s="19" t="n">
        <v>480</v>
      </c>
      <c r="G27" s="19" t="n">
        <v>960</v>
      </c>
      <c r="H27" s="18" t="str">
        <f aca="false">IFERROR(IF(INDEX('Quick Entry'!$B$2:$B$60,MATCH(A27,'Quick Entry'!$A$2:$A$60,0))="Yes",INDEX('Quick Entry'!$C$2:$C$60,MATCH(A27,'Quick Entry'!$A$2:$A$60,0)),"None"),"None")</f>
        <v>None</v>
      </c>
      <c r="I27" s="17" t="n">
        <f aca="false">IFERROR(VLOOKUP(H27,Lists!$A$2:$B$7,2,FALSE()),0)</f>
        <v>0</v>
      </c>
      <c r="J27" s="17" t="n">
        <f aca="false">IF(H27="None",0,IF(H27="Base",D27,IF(H27="Gold",E27,IF(H27="Diamond",F27,IF(H27="Rainbow",G27,"N/A (TBC)")))))</f>
        <v>0</v>
      </c>
      <c r="K27" s="18"/>
    </row>
    <row r="28" customFormat="false" ht="15" hidden="false" customHeight="false" outlineLevel="0" collapsed="false">
      <c r="A28" s="17" t="s">
        <v>72</v>
      </c>
      <c r="B28" s="18" t="s">
        <v>41</v>
      </c>
      <c r="C28" s="18" t="s">
        <v>71</v>
      </c>
      <c r="D28" s="19" t="n">
        <v>240</v>
      </c>
      <c r="E28" s="19" t="n">
        <v>480</v>
      </c>
      <c r="F28" s="19" t="n">
        <v>960</v>
      </c>
      <c r="G28" s="19" t="n">
        <v>1920</v>
      </c>
      <c r="H28" s="18" t="str">
        <f aca="false">IFERROR(IF(INDEX('Quick Entry'!$B$2:$B$60,MATCH(A28,'Quick Entry'!$A$2:$A$60,0))="Yes",INDEX('Quick Entry'!$C$2:$C$60,MATCH(A28,'Quick Entry'!$A$2:$A$60,0)),"None"),"None")</f>
        <v>None</v>
      </c>
      <c r="I28" s="17" t="n">
        <f aca="false">IFERROR(VLOOKUP(H28,Lists!$A$2:$B$7,2,FALSE()),0)</f>
        <v>0</v>
      </c>
      <c r="J28" s="17" t="n">
        <f aca="false">IF(H28="None",0,IF(H28="Base",D28,IF(H28="Gold",E28,IF(H28="Diamond",F28,IF(H28="Rainbow",G28,"N/A (TBC)")))))</f>
        <v>0</v>
      </c>
      <c r="K28" s="18"/>
    </row>
    <row r="29" customFormat="false" ht="15" hidden="false" customHeight="false" outlineLevel="0" collapsed="false">
      <c r="A29" s="17" t="s">
        <v>73</v>
      </c>
      <c r="B29" s="18" t="s">
        <v>41</v>
      </c>
      <c r="C29" s="18" t="s">
        <v>71</v>
      </c>
      <c r="D29" s="19" t="n">
        <v>570</v>
      </c>
      <c r="E29" s="19" t="n">
        <v>1140</v>
      </c>
      <c r="F29" s="19" t="n">
        <v>2280</v>
      </c>
      <c r="G29" s="19" t="n">
        <v>4560</v>
      </c>
      <c r="H29" s="18" t="str">
        <f aca="false">IFERROR(IF(INDEX('Quick Entry'!$B$2:$B$60,MATCH(A29,'Quick Entry'!$A$2:$A$60,0))="Yes",INDEX('Quick Entry'!$C$2:$C$60,MATCH(A29,'Quick Entry'!$A$2:$A$60,0)),"None"),"None")</f>
        <v>None</v>
      </c>
      <c r="I29" s="17" t="n">
        <f aca="false">IFERROR(VLOOKUP(H29,Lists!$A$2:$B$7,2,FALSE()),0)</f>
        <v>0</v>
      </c>
      <c r="J29" s="17" t="n">
        <f aca="false">IF(H29="None",0,IF(H29="Base",D29,IF(H29="Gold",E29,IF(H29="Diamond",F29,IF(H29="Rainbow",G29,"N/A (TBC)")))))</f>
        <v>0</v>
      </c>
      <c r="K29" s="18"/>
    </row>
    <row r="30" customFormat="false" ht="15" hidden="false" customHeight="false" outlineLevel="0" collapsed="false">
      <c r="A30" s="17" t="s">
        <v>74</v>
      </c>
      <c r="B30" s="18" t="s">
        <v>41</v>
      </c>
      <c r="C30" s="18" t="s">
        <v>71</v>
      </c>
      <c r="D30" s="19" t="n">
        <v>510</v>
      </c>
      <c r="E30" s="19" t="n">
        <v>1020</v>
      </c>
      <c r="F30" s="19" t="n">
        <v>2040</v>
      </c>
      <c r="G30" s="19" t="n">
        <v>4080</v>
      </c>
      <c r="H30" s="18" t="str">
        <f aca="false">IFERROR(IF(INDEX('Quick Entry'!$B$2:$B$60,MATCH(A30,'Quick Entry'!$A$2:$A$60,0))="Yes",INDEX('Quick Entry'!$C$2:$C$60,MATCH(A30,'Quick Entry'!$A$2:$A$60,0)),"None"),"None")</f>
        <v>None</v>
      </c>
      <c r="I30" s="17" t="n">
        <f aca="false">IFERROR(VLOOKUP(H30,Lists!$A$2:$B$7,2,FALSE()),0)</f>
        <v>0</v>
      </c>
      <c r="J30" s="17" t="n">
        <f aca="false">IF(H30="None",0,IF(H30="Base",D30,IF(H30="Gold",E30,IF(H30="Diamond",F30,IF(H30="Rainbow",G30,"N/A (TBC)")))))</f>
        <v>0</v>
      </c>
      <c r="K30" s="18"/>
    </row>
    <row r="31" customFormat="false" ht="15" hidden="false" customHeight="false" outlineLevel="0" collapsed="false">
      <c r="A31" s="17" t="s">
        <v>75</v>
      </c>
      <c r="B31" s="18" t="s">
        <v>41</v>
      </c>
      <c r="C31" s="18" t="s">
        <v>71</v>
      </c>
      <c r="D31" s="19" t="n">
        <v>380</v>
      </c>
      <c r="E31" s="19" t="n">
        <v>780</v>
      </c>
      <c r="F31" s="19" t="n">
        <v>1560</v>
      </c>
      <c r="G31" s="19" t="n">
        <v>3120</v>
      </c>
      <c r="H31" s="18" t="str">
        <f aca="false">IFERROR(IF(INDEX('Quick Entry'!$B$2:$B$60,MATCH(A31,'Quick Entry'!$A$2:$A$60,0))="Yes",INDEX('Quick Entry'!$C$2:$C$60,MATCH(A31,'Quick Entry'!$A$2:$A$60,0)),"None"),"None")</f>
        <v>None</v>
      </c>
      <c r="I31" s="17" t="n">
        <f aca="false">IFERROR(VLOOKUP(H31,Lists!$A$2:$B$7,2,FALSE()),0)</f>
        <v>0</v>
      </c>
      <c r="J31" s="17" t="n">
        <f aca="false">IF(H31="None",0,IF(H31="Base",D31,IF(H31="Gold",E31,IF(H31="Diamond",F31,IF(H31="Rainbow",G31,"N/A (TBC)")))))</f>
        <v>0</v>
      </c>
      <c r="K31" s="18"/>
    </row>
    <row r="32" customFormat="false" ht="15" hidden="false" customHeight="false" outlineLevel="0" collapsed="false">
      <c r="A32" s="17" t="s">
        <v>76</v>
      </c>
      <c r="B32" s="18" t="s">
        <v>46</v>
      </c>
      <c r="C32" s="18" t="s">
        <v>71</v>
      </c>
      <c r="D32" s="19" t="n">
        <v>150</v>
      </c>
      <c r="E32" s="19" t="n">
        <v>300</v>
      </c>
      <c r="F32" s="19" t="n">
        <v>600</v>
      </c>
      <c r="G32" s="19" t="n">
        <v>1200</v>
      </c>
      <c r="H32" s="18" t="str">
        <f aca="false">IFERROR(IF(INDEX('Quick Entry'!$B$2:$B$60,MATCH(A32,'Quick Entry'!$A$2:$A$60,0))="Yes",INDEX('Quick Entry'!$C$2:$C$60,MATCH(A32,'Quick Entry'!$A$2:$A$60,0)),"None"),"None")</f>
        <v>None</v>
      </c>
      <c r="I32" s="17" t="n">
        <f aca="false">IFERROR(VLOOKUP(H32,Lists!$A$2:$B$7,2,FALSE()),0)</f>
        <v>0</v>
      </c>
      <c r="J32" s="17" t="n">
        <f aca="false">IF(H32="None",0,IF(H32="Base",D32,IF(H32="Gold",E32,IF(H32="Diamond",F32,IF(H32="Rainbow",G32,"N/A (TBC)")))))</f>
        <v>0</v>
      </c>
      <c r="K32" s="18"/>
    </row>
    <row r="33" customFormat="false" ht="15" hidden="false" customHeight="false" outlineLevel="0" collapsed="false">
      <c r="A33" s="17" t="s">
        <v>77</v>
      </c>
      <c r="B33" s="18" t="s">
        <v>46</v>
      </c>
      <c r="C33" s="18" t="s">
        <v>71</v>
      </c>
      <c r="D33" s="19" t="n">
        <v>360</v>
      </c>
      <c r="E33" s="19" t="n">
        <v>720</v>
      </c>
      <c r="F33" s="19" t="n">
        <v>1440</v>
      </c>
      <c r="G33" s="19" t="n">
        <v>2880</v>
      </c>
      <c r="H33" s="18" t="str">
        <f aca="false">IFERROR(IF(INDEX('Quick Entry'!$B$2:$B$60,MATCH(A33,'Quick Entry'!$A$2:$A$60,0))="Yes",INDEX('Quick Entry'!$C$2:$C$60,MATCH(A33,'Quick Entry'!$A$2:$A$60,0)),"None"),"None")</f>
        <v>None</v>
      </c>
      <c r="I33" s="17" t="n">
        <f aca="false">IFERROR(VLOOKUP(H33,Lists!$A$2:$B$7,2,FALSE()),0)</f>
        <v>0</v>
      </c>
      <c r="J33" s="17" t="n">
        <f aca="false">IF(H33="None",0,IF(H33="Base",D33,IF(H33="Gold",E33,IF(H33="Diamond",F33,IF(H33="Rainbow",G33,"N/A (TBC)")))))</f>
        <v>0</v>
      </c>
      <c r="K33" s="18"/>
    </row>
    <row r="34" customFormat="false" ht="15" hidden="false" customHeight="false" outlineLevel="0" collapsed="false">
      <c r="A34" s="17" t="s">
        <v>78</v>
      </c>
      <c r="B34" s="18" t="s">
        <v>46</v>
      </c>
      <c r="C34" s="18" t="s">
        <v>71</v>
      </c>
      <c r="D34" s="19" t="n">
        <v>300</v>
      </c>
      <c r="E34" s="19" t="n">
        <v>600</v>
      </c>
      <c r="F34" s="19" t="n">
        <v>1200</v>
      </c>
      <c r="G34" s="19" t="n">
        <v>2400</v>
      </c>
      <c r="H34" s="18" t="str">
        <f aca="false">IFERROR(IF(INDEX('Quick Entry'!$B$2:$B$60,MATCH(A34,'Quick Entry'!$A$2:$A$60,0))="Yes",INDEX('Quick Entry'!$C$2:$C$60,MATCH(A34,'Quick Entry'!$A$2:$A$60,0)),"None"),"None")</f>
        <v>None</v>
      </c>
      <c r="I34" s="17" t="n">
        <f aca="false">IFERROR(VLOOKUP(H34,Lists!$A$2:$B$7,2,FALSE()),0)</f>
        <v>0</v>
      </c>
      <c r="J34" s="17" t="n">
        <f aca="false">IF(H34="None",0,IF(H34="Base",D34,IF(H34="Gold",E34,IF(H34="Diamond",F34,IF(H34="Rainbow",G34,"N/A (TBC)")))))</f>
        <v>0</v>
      </c>
      <c r="K34" s="18"/>
    </row>
    <row r="35" customFormat="false" ht="15" hidden="false" customHeight="false" outlineLevel="0" collapsed="false">
      <c r="A35" s="17" t="s">
        <v>79</v>
      </c>
      <c r="B35" s="18" t="s">
        <v>46</v>
      </c>
      <c r="C35" s="18" t="s">
        <v>71</v>
      </c>
      <c r="D35" s="19" t="n">
        <v>330</v>
      </c>
      <c r="E35" s="19" t="n">
        <v>660</v>
      </c>
      <c r="F35" s="19" t="n">
        <v>1320</v>
      </c>
      <c r="G35" s="19" t="n">
        <v>2640</v>
      </c>
      <c r="H35" s="18" t="str">
        <f aca="false">IFERROR(IF(INDEX('Quick Entry'!$B$2:$B$60,MATCH(A35,'Quick Entry'!$A$2:$A$60,0))="Yes",INDEX('Quick Entry'!$C$2:$C$60,MATCH(A35,'Quick Entry'!$A$2:$A$60,0)),"None"),"None")</f>
        <v>None</v>
      </c>
      <c r="I35" s="17" t="n">
        <f aca="false">IFERROR(VLOOKUP(H35,Lists!$A$2:$B$7,2,FALSE()),0)</f>
        <v>0</v>
      </c>
      <c r="J35" s="17" t="n">
        <f aca="false">IF(H35="None",0,IF(H35="Base",D35,IF(H35="Gold",E35,IF(H35="Diamond",F35,IF(H35="Rainbow",G35,"N/A (TBC)")))))</f>
        <v>0</v>
      </c>
      <c r="K35" s="18"/>
    </row>
    <row r="36" customFormat="false" ht="15" hidden="false" customHeight="false" outlineLevel="0" collapsed="false">
      <c r="A36" s="17" t="s">
        <v>80</v>
      </c>
      <c r="B36" s="18" t="s">
        <v>46</v>
      </c>
      <c r="C36" s="18" t="s">
        <v>71</v>
      </c>
      <c r="D36" s="19" t="n">
        <v>180</v>
      </c>
      <c r="E36" s="19" t="n">
        <v>360</v>
      </c>
      <c r="F36" s="19" t="n">
        <v>720</v>
      </c>
      <c r="G36" s="19" t="n">
        <v>1440</v>
      </c>
      <c r="H36" s="18" t="str">
        <f aca="false">IFERROR(IF(INDEX('Quick Entry'!$B$2:$B$60,MATCH(A36,'Quick Entry'!$A$2:$A$60,0))="Yes",INDEX('Quick Entry'!$C$2:$C$60,MATCH(A36,'Quick Entry'!$A$2:$A$60,0)),"None"),"None")</f>
        <v>None</v>
      </c>
      <c r="I36" s="17" t="n">
        <f aca="false">IFERROR(VLOOKUP(H36,Lists!$A$2:$B$7,2,FALSE()),0)</f>
        <v>0</v>
      </c>
      <c r="J36" s="17" t="n">
        <f aca="false">IF(H36="None",0,IF(H36="Base",D36,IF(H36="Gold",E36,IF(H36="Diamond",F36,IF(H36="Rainbow",G36,"N/A (TBC)")))))</f>
        <v>0</v>
      </c>
      <c r="K36" s="18"/>
    </row>
    <row r="37" customFormat="false" ht="15" hidden="false" customHeight="false" outlineLevel="0" collapsed="false">
      <c r="A37" s="17" t="s">
        <v>81</v>
      </c>
      <c r="B37" s="18" t="s">
        <v>46</v>
      </c>
      <c r="C37" s="18" t="s">
        <v>71</v>
      </c>
      <c r="D37" s="19" t="n">
        <v>210</v>
      </c>
      <c r="E37" s="19" t="n">
        <v>420</v>
      </c>
      <c r="F37" s="19" t="n">
        <v>840</v>
      </c>
      <c r="G37" s="19" t="n">
        <v>1680</v>
      </c>
      <c r="H37" s="18" t="str">
        <f aca="false">IFERROR(IF(INDEX('Quick Entry'!$B$2:$B$60,MATCH(A37,'Quick Entry'!$A$2:$A$60,0))="Yes",INDEX('Quick Entry'!$C$2:$C$60,MATCH(A37,'Quick Entry'!$A$2:$A$60,0)),"None"),"None")</f>
        <v>None</v>
      </c>
      <c r="I37" s="17" t="n">
        <f aca="false">IFERROR(VLOOKUP(H37,Lists!$A$2:$B$7,2,FALSE()),0)</f>
        <v>0</v>
      </c>
      <c r="J37" s="17" t="n">
        <f aca="false">IF(H37="None",0,IF(H37="Base",D37,IF(H37="Gold",E37,IF(H37="Diamond",F37,IF(H37="Rainbow",G37,"N/A (TBC)")))))</f>
        <v>0</v>
      </c>
      <c r="K37" s="18"/>
    </row>
    <row r="38" customFormat="false" ht="15" hidden="false" customHeight="false" outlineLevel="0" collapsed="false">
      <c r="A38" s="17" t="s">
        <v>82</v>
      </c>
      <c r="B38" s="18" t="s">
        <v>51</v>
      </c>
      <c r="C38" s="18" t="s">
        <v>71</v>
      </c>
      <c r="D38" s="19" t="n">
        <v>630</v>
      </c>
      <c r="E38" s="19" t="n">
        <v>1260</v>
      </c>
      <c r="F38" s="19" t="n">
        <v>2520</v>
      </c>
      <c r="G38" s="19" t="n">
        <v>5040</v>
      </c>
      <c r="H38" s="18" t="str">
        <f aca="false">IFERROR(IF(INDEX('Quick Entry'!$B$2:$B$60,MATCH(A38,'Quick Entry'!$A$2:$A$60,0))="Yes",INDEX('Quick Entry'!$C$2:$C$60,MATCH(A38,'Quick Entry'!$A$2:$A$60,0)),"None"),"None")</f>
        <v>None</v>
      </c>
      <c r="I38" s="17" t="n">
        <f aca="false">IFERROR(VLOOKUP(H38,Lists!$A$2:$B$7,2,FALSE()),0)</f>
        <v>0</v>
      </c>
      <c r="J38" s="17" t="n">
        <f aca="false">IF(H38="None",0,IF(H38="Base",D38,IF(H38="Gold",E38,IF(H38="Diamond",F38,IF(H38="Rainbow",G38,"N/A (TBC)")))))</f>
        <v>0</v>
      </c>
      <c r="K38" s="18"/>
    </row>
    <row r="39" customFormat="false" ht="15" hidden="false" customHeight="false" outlineLevel="0" collapsed="false">
      <c r="A39" s="17" t="s">
        <v>83</v>
      </c>
      <c r="B39" s="18" t="s">
        <v>51</v>
      </c>
      <c r="C39" s="18" t="s">
        <v>71</v>
      </c>
      <c r="D39" s="19" t="n">
        <v>420</v>
      </c>
      <c r="E39" s="19" t="n">
        <v>840</v>
      </c>
      <c r="F39" s="19" t="n">
        <v>1680</v>
      </c>
      <c r="G39" s="19" t="n">
        <v>3360</v>
      </c>
      <c r="H39" s="18" t="str">
        <f aca="false">IFERROR(IF(INDEX('Quick Entry'!$B$2:$B$60,MATCH(A39,'Quick Entry'!$A$2:$A$60,0))="Yes",INDEX('Quick Entry'!$C$2:$C$60,MATCH(A39,'Quick Entry'!$A$2:$A$60,0)),"None"),"None")</f>
        <v>None</v>
      </c>
      <c r="I39" s="17" t="n">
        <f aca="false">IFERROR(VLOOKUP(H39,Lists!$A$2:$B$7,2,FALSE()),0)</f>
        <v>0</v>
      </c>
      <c r="J39" s="17" t="n">
        <f aca="false">IF(H39="None",0,IF(H39="Base",D39,IF(H39="Gold",E39,IF(H39="Diamond",F39,IF(H39="Rainbow",G39,"N/A (TBC)")))))</f>
        <v>0</v>
      </c>
      <c r="K39" s="18"/>
    </row>
    <row r="40" customFormat="false" ht="15" hidden="false" customHeight="false" outlineLevel="0" collapsed="false">
      <c r="A40" s="17" t="s">
        <v>84</v>
      </c>
      <c r="B40" s="18" t="s">
        <v>51</v>
      </c>
      <c r="C40" s="18" t="s">
        <v>71</v>
      </c>
      <c r="D40" s="19" t="n">
        <v>480</v>
      </c>
      <c r="E40" s="19" t="n">
        <v>960</v>
      </c>
      <c r="F40" s="19" t="n">
        <v>1920</v>
      </c>
      <c r="G40" s="19" t="n">
        <v>3840</v>
      </c>
      <c r="H40" s="18" t="str">
        <f aca="false">IFERROR(IF(INDEX('Quick Entry'!$B$2:$B$60,MATCH(A40,'Quick Entry'!$A$2:$A$60,0))="Yes",INDEX('Quick Entry'!$C$2:$C$60,MATCH(A40,'Quick Entry'!$A$2:$A$60,0)),"None"),"None")</f>
        <v>None</v>
      </c>
      <c r="I40" s="17" t="n">
        <f aca="false">IFERROR(VLOOKUP(H40,Lists!$A$2:$B$7,2,FALSE()),0)</f>
        <v>0</v>
      </c>
      <c r="J40" s="17" t="n">
        <f aca="false">IF(H40="None",0,IF(H40="Base",D40,IF(H40="Gold",E40,IF(H40="Diamond",F40,IF(H40="Rainbow",G40,"N/A (TBC)")))))</f>
        <v>0</v>
      </c>
      <c r="K40" s="18"/>
    </row>
    <row r="41" customFormat="false" ht="15" hidden="false" customHeight="false" outlineLevel="0" collapsed="false">
      <c r="A41" s="17" t="s">
        <v>85</v>
      </c>
      <c r="B41" s="18" t="s">
        <v>51</v>
      </c>
      <c r="C41" s="18" t="s">
        <v>71</v>
      </c>
      <c r="D41" s="19" t="n">
        <v>540</v>
      </c>
      <c r="E41" s="19" t="n">
        <v>1080</v>
      </c>
      <c r="F41" s="19" t="n">
        <v>2160</v>
      </c>
      <c r="G41" s="19" t="n">
        <v>4320</v>
      </c>
      <c r="H41" s="18" t="str">
        <f aca="false">IFERROR(IF(INDEX('Quick Entry'!$B$2:$B$60,MATCH(A41,'Quick Entry'!$A$2:$A$60,0))="Yes",INDEX('Quick Entry'!$C$2:$C$60,MATCH(A41,'Quick Entry'!$A$2:$A$60,0)),"None"),"None")</f>
        <v>None</v>
      </c>
      <c r="I41" s="17" t="n">
        <f aca="false">IFERROR(VLOOKUP(H41,Lists!$A$2:$B$7,2,FALSE()),0)</f>
        <v>0</v>
      </c>
      <c r="J41" s="17" t="n">
        <f aca="false">IF(H41="None",0,IF(H41="Base",D41,IF(H41="Gold",E41,IF(H41="Diamond",F41,IF(H41="Rainbow",G41,"N/A (TBC)")))))</f>
        <v>0</v>
      </c>
      <c r="K41" s="18"/>
    </row>
    <row r="42" customFormat="false" ht="15" hidden="false" customHeight="false" outlineLevel="0" collapsed="false">
      <c r="A42" s="17" t="s">
        <v>86</v>
      </c>
      <c r="B42" s="18" t="s">
        <v>51</v>
      </c>
      <c r="C42" s="18" t="s">
        <v>71</v>
      </c>
      <c r="D42" s="19" t="n">
        <v>270</v>
      </c>
      <c r="E42" s="19" t="n">
        <v>540</v>
      </c>
      <c r="F42" s="19" t="n">
        <v>1080</v>
      </c>
      <c r="G42" s="19" t="n">
        <v>2160</v>
      </c>
      <c r="H42" s="18" t="str">
        <f aca="false">IFERROR(IF(INDEX('Quick Entry'!$B$2:$B$60,MATCH(A42,'Quick Entry'!$A$2:$A$60,0))="Yes",INDEX('Quick Entry'!$C$2:$C$60,MATCH(A42,'Quick Entry'!$A$2:$A$60,0)),"None"),"None")</f>
        <v>None</v>
      </c>
      <c r="I42" s="17" t="n">
        <f aca="false">IFERROR(VLOOKUP(H42,Lists!$A$2:$B$7,2,FALSE()),0)</f>
        <v>0</v>
      </c>
      <c r="J42" s="17" t="n">
        <f aca="false">IF(H42="None",0,IF(H42="Base",D42,IF(H42="Gold",E42,IF(H42="Diamond",F42,IF(H42="Rainbow",G42,"N/A (TBC)")))))</f>
        <v>0</v>
      </c>
      <c r="K42" s="18"/>
    </row>
    <row r="43" customFormat="false" ht="15" hidden="false" customHeight="false" outlineLevel="0" collapsed="false">
      <c r="A43" s="17" t="s">
        <v>87</v>
      </c>
      <c r="B43" s="18" t="s">
        <v>51</v>
      </c>
      <c r="C43" s="18" t="s">
        <v>71</v>
      </c>
      <c r="D43" s="19" t="n">
        <v>450</v>
      </c>
      <c r="E43" s="19" t="n">
        <v>900</v>
      </c>
      <c r="F43" s="19" t="n">
        <v>1800</v>
      </c>
      <c r="G43" s="19" t="n">
        <v>3600</v>
      </c>
      <c r="H43" s="18" t="str">
        <f aca="false">IFERROR(IF(INDEX('Quick Entry'!$B$2:$B$60,MATCH(A43,'Quick Entry'!$A$2:$A$60,0))="Yes",INDEX('Quick Entry'!$C$2:$C$60,MATCH(A43,'Quick Entry'!$A$2:$A$60,0)),"None"),"None")</f>
        <v>None</v>
      </c>
      <c r="I43" s="17" t="n">
        <f aca="false">IFERROR(VLOOKUP(H43,Lists!$A$2:$B$7,2,FALSE()),0)</f>
        <v>0</v>
      </c>
      <c r="J43" s="17" t="n">
        <f aca="false">IF(H43="None",0,IF(H43="Base",D43,IF(H43="Gold",E43,IF(H43="Diamond",F43,IF(H43="Rainbow",G43,"N/A (TBC)")))))</f>
        <v>0</v>
      </c>
      <c r="K43" s="18" t="s">
        <v>88</v>
      </c>
    </row>
    <row r="44" customFormat="false" ht="15" hidden="false" customHeight="false" outlineLevel="0" collapsed="false">
      <c r="A44" s="17" t="s">
        <v>89</v>
      </c>
      <c r="B44" s="18" t="s">
        <v>51</v>
      </c>
      <c r="C44" s="18" t="s">
        <v>71</v>
      </c>
      <c r="D44" s="19" t="n">
        <v>972</v>
      </c>
      <c r="E44" s="19" t="n">
        <v>1944</v>
      </c>
      <c r="F44" s="19" t="n">
        <v>3888</v>
      </c>
      <c r="G44" s="19" t="n">
        <v>7776</v>
      </c>
      <c r="H44" s="18" t="str">
        <f aca="false">IFERROR(IF(INDEX('Quick Entry'!$B$2:$B$60,MATCH(A44,'Quick Entry'!$A$2:$A$60,0))="Yes",INDEX('Quick Entry'!$C$2:$C$60,MATCH(A44,'Quick Entry'!$A$2:$A$60,0)),"None"),"None")</f>
        <v>None</v>
      </c>
      <c r="I44" s="17" t="n">
        <f aca="false">IFERROR(VLOOKUP(H44,Lists!$A$2:$B$7,2,FALSE()),0)</f>
        <v>0</v>
      </c>
      <c r="J44" s="17" t="n">
        <f aca="false">IF(H44="None",0,IF(H44="Base",D44,IF(H44="Gold",E44,IF(H44="Diamond",F44,IF(H44="Rainbow",G44,"N/A (TBC)")))))</f>
        <v>0</v>
      </c>
      <c r="K44" s="18" t="s">
        <v>90</v>
      </c>
    </row>
    <row r="45" customFormat="false" ht="15" hidden="false" customHeight="false" outlineLevel="0" collapsed="false">
      <c r="A45" s="17" t="s">
        <v>91</v>
      </c>
      <c r="B45" s="18" t="s">
        <v>41</v>
      </c>
      <c r="C45" s="18" t="s">
        <v>92</v>
      </c>
      <c r="D45" s="19" t="n">
        <v>1040</v>
      </c>
      <c r="E45" s="19" t="n">
        <v>2080</v>
      </c>
      <c r="F45" s="19" t="n">
        <v>4160</v>
      </c>
      <c r="G45" s="19" t="n">
        <v>8320</v>
      </c>
      <c r="H45" s="18" t="str">
        <f aca="false">IFERROR(IF(INDEX('Quick Entry'!$B$2:$B$60,MATCH(A45,'Quick Entry'!$A$2:$A$60,0))="Yes",INDEX('Quick Entry'!$C$2:$C$60,MATCH(A45,'Quick Entry'!$A$2:$A$60,0)),"None"),"None")</f>
        <v>None</v>
      </c>
      <c r="I45" s="17" t="n">
        <f aca="false">IFERROR(VLOOKUP(H45,Lists!$A$2:$B$7,2,FALSE()),0)</f>
        <v>0</v>
      </c>
      <c r="J45" s="17" t="n">
        <f aca="false">IF(H45="None",0,IF(H45="Base",D45,IF(H45="Gold",E45,IF(H45="Diamond",F45,IF(H45="Rainbow",G45,"N/A (TBC)")))))</f>
        <v>0</v>
      </c>
      <c r="K45" s="18"/>
    </row>
    <row r="46" customFormat="false" ht="15" hidden="false" customHeight="false" outlineLevel="0" collapsed="false">
      <c r="A46" s="17" t="s">
        <v>93</v>
      </c>
      <c r="B46" s="18" t="s">
        <v>41</v>
      </c>
      <c r="C46" s="18" t="s">
        <v>92</v>
      </c>
      <c r="D46" s="19" t="n">
        <v>1120</v>
      </c>
      <c r="E46" s="19" t="n">
        <v>2240</v>
      </c>
      <c r="F46" s="19" t="n">
        <v>4480</v>
      </c>
      <c r="G46" s="19" t="n">
        <v>8960</v>
      </c>
      <c r="H46" s="18" t="str">
        <f aca="false">IFERROR(IF(INDEX('Quick Entry'!$B$2:$B$60,MATCH(A46,'Quick Entry'!$A$2:$A$60,0))="Yes",INDEX('Quick Entry'!$C$2:$C$60,MATCH(A46,'Quick Entry'!$A$2:$A$60,0)),"None"),"None")</f>
        <v>None</v>
      </c>
      <c r="I46" s="17" t="n">
        <f aca="false">IFERROR(VLOOKUP(H46,Lists!$A$2:$B$7,2,FALSE()),0)</f>
        <v>0</v>
      </c>
      <c r="J46" s="17" t="n">
        <f aca="false">IF(H46="None",0,IF(H46="Base",D46,IF(H46="Gold",E46,IF(H46="Diamond",F46,IF(H46="Rainbow",G46,"N/A (TBC)")))))</f>
        <v>0</v>
      </c>
      <c r="K46" s="18" t="s">
        <v>94</v>
      </c>
    </row>
    <row r="47" customFormat="false" ht="15" hidden="false" customHeight="false" outlineLevel="0" collapsed="false">
      <c r="A47" s="17" t="s">
        <v>95</v>
      </c>
      <c r="B47" s="18" t="s">
        <v>46</v>
      </c>
      <c r="C47" s="18" t="s">
        <v>92</v>
      </c>
      <c r="D47" s="19" t="n">
        <v>900</v>
      </c>
      <c r="E47" s="19" t="n">
        <v>1800</v>
      </c>
      <c r="F47" s="19" t="n">
        <v>3600</v>
      </c>
      <c r="G47" s="19" t="n">
        <v>7200</v>
      </c>
      <c r="H47" s="18" t="str">
        <f aca="false">IFERROR(IF(INDEX('Quick Entry'!$B$2:$B$60,MATCH(A47,'Quick Entry'!$A$2:$A$60,0))="Yes",INDEX('Quick Entry'!$C$2:$C$60,MATCH(A47,'Quick Entry'!$A$2:$A$60,0)),"None"),"None")</f>
        <v>None</v>
      </c>
      <c r="I47" s="17" t="n">
        <f aca="false">IFERROR(VLOOKUP(H47,Lists!$A$2:$B$7,2,FALSE()),0)</f>
        <v>0</v>
      </c>
      <c r="J47" s="17" t="n">
        <f aca="false">IF(H47="None",0,IF(H47="Base",D47,IF(H47="Gold",E47,IF(H47="Diamond",F47,IF(H47="Rainbow",G47,"N/A (TBC)")))))</f>
        <v>0</v>
      </c>
      <c r="K47" s="18"/>
    </row>
    <row r="48" customFormat="false" ht="15" hidden="false" customHeight="false" outlineLevel="0" collapsed="false">
      <c r="A48" s="17" t="s">
        <v>96</v>
      </c>
      <c r="B48" s="18" t="s">
        <v>46</v>
      </c>
      <c r="C48" s="18" t="s">
        <v>92</v>
      </c>
      <c r="D48" s="19" t="n">
        <v>1190</v>
      </c>
      <c r="E48" s="19" t="n">
        <v>2380</v>
      </c>
      <c r="F48" s="19" t="n">
        <v>4750</v>
      </c>
      <c r="G48" s="19" t="n">
        <v>9500</v>
      </c>
      <c r="H48" s="18" t="str">
        <f aca="false">IFERROR(IF(INDEX('Quick Entry'!$B$2:$B$60,MATCH(A48,'Quick Entry'!$A$2:$A$60,0))="Yes",INDEX('Quick Entry'!$C$2:$C$60,MATCH(A48,'Quick Entry'!$A$2:$A$60,0)),"None"),"None")</f>
        <v>None</v>
      </c>
      <c r="I48" s="17" t="n">
        <f aca="false">IFERROR(VLOOKUP(H48,Lists!$A$2:$B$7,2,FALSE()),0)</f>
        <v>0</v>
      </c>
      <c r="J48" s="17" t="n">
        <f aca="false">IF(H48="None",0,IF(H48="Base",D48,IF(H48="Gold",E48,IF(H48="Diamond",F48,IF(H48="Rainbow",G48,"N/A (TBC)")))))</f>
        <v>0</v>
      </c>
      <c r="K48" s="18"/>
    </row>
    <row r="49" customFormat="false" ht="15" hidden="false" customHeight="false" outlineLevel="0" collapsed="false">
      <c r="A49" s="17" t="s">
        <v>97</v>
      </c>
      <c r="B49" s="18" t="s">
        <v>51</v>
      </c>
      <c r="C49" s="18" t="s">
        <v>92</v>
      </c>
      <c r="D49" s="19" t="n">
        <v>1400</v>
      </c>
      <c r="E49" s="19" t="n">
        <v>2800</v>
      </c>
      <c r="F49" s="19" t="n">
        <v>5600</v>
      </c>
      <c r="G49" s="19" t="n">
        <v>11200</v>
      </c>
      <c r="H49" s="18" t="str">
        <f aca="false">IFERROR(IF(INDEX('Quick Entry'!$B$2:$B$60,MATCH(A49,'Quick Entry'!$A$2:$A$60,0))="Yes",INDEX('Quick Entry'!$C$2:$C$60,MATCH(A49,'Quick Entry'!$A$2:$A$60,0)),"None"),"None")</f>
        <v>None</v>
      </c>
      <c r="I49" s="17" t="n">
        <f aca="false">IFERROR(VLOOKUP(H49,Lists!$A$2:$B$7,2,FALSE()),0)</f>
        <v>0</v>
      </c>
      <c r="J49" s="17" t="n">
        <f aca="false">IF(H49="None",0,IF(H49="Base",D49,IF(H49="Gold",E49,IF(H49="Diamond",F49,IF(H49="Rainbow",G49,"N/A (TBC)")))))</f>
        <v>0</v>
      </c>
      <c r="K49" s="18"/>
    </row>
    <row r="50" customFormat="false" ht="15" hidden="false" customHeight="false" outlineLevel="0" collapsed="false">
      <c r="A50" s="17" t="s">
        <v>98</v>
      </c>
      <c r="B50" s="18" t="s">
        <v>51</v>
      </c>
      <c r="C50" s="18" t="s">
        <v>92</v>
      </c>
      <c r="D50" s="19" t="n">
        <v>1260</v>
      </c>
      <c r="E50" s="19" t="n">
        <v>2520</v>
      </c>
      <c r="F50" s="19" t="n">
        <v>5040</v>
      </c>
      <c r="G50" s="19" t="n">
        <v>10080</v>
      </c>
      <c r="H50" s="18" t="str">
        <f aca="false">IFERROR(IF(INDEX('Quick Entry'!$B$2:$B$60,MATCH(A50,'Quick Entry'!$A$2:$A$60,0))="Yes",INDEX('Quick Entry'!$C$2:$C$60,MATCH(A50,'Quick Entry'!$A$2:$A$60,0)),"None"),"None")</f>
        <v>None</v>
      </c>
      <c r="I50" s="17" t="n">
        <f aca="false">IFERROR(VLOOKUP(H50,Lists!$A$2:$B$7,2,FALSE()),0)</f>
        <v>0</v>
      </c>
      <c r="J50" s="17" t="n">
        <f aca="false">IF(H50="None",0,IF(H50="Base",D50,IF(H50="Gold",E50,IF(H50="Diamond",F50,IF(H50="Rainbow",G50,"N/A (TBC)")))))</f>
        <v>0</v>
      </c>
      <c r="K50" s="18"/>
    </row>
    <row r="51" customFormat="false" ht="15" hidden="false" customHeight="false" outlineLevel="0" collapsed="false">
      <c r="A51" s="17" t="s">
        <v>99</v>
      </c>
      <c r="B51" s="18" t="s">
        <v>51</v>
      </c>
      <c r="C51" s="18" t="s">
        <v>92</v>
      </c>
      <c r="D51" s="19" t="n">
        <v>1510</v>
      </c>
      <c r="E51" s="19" t="n">
        <v>3020</v>
      </c>
      <c r="F51" s="19" t="n">
        <v>6040</v>
      </c>
      <c r="G51" s="19" t="n">
        <v>12080</v>
      </c>
      <c r="H51" s="18" t="str">
        <f aca="false">IFERROR(IF(INDEX('Quick Entry'!$B$2:$B$60,MATCH(A51,'Quick Entry'!$A$2:$A$60,0))="Yes",INDEX('Quick Entry'!$C$2:$C$60,MATCH(A51,'Quick Entry'!$A$2:$A$60,0)),"None"),"None")</f>
        <v>None</v>
      </c>
      <c r="I51" s="17" t="n">
        <f aca="false">IFERROR(VLOOKUP(H51,Lists!$A$2:$B$7,2,FALSE()),0)</f>
        <v>0</v>
      </c>
      <c r="J51" s="17" t="n">
        <f aca="false">IF(H51="None",0,IF(H51="Base",D51,IF(H51="Gold",E51,IF(H51="Diamond",F51,IF(H51="Rainbow",G51,"N/A (TBC)")))))</f>
        <v>0</v>
      </c>
      <c r="K51" s="18"/>
    </row>
    <row r="52" customFormat="false" ht="15" hidden="false" customHeight="false" outlineLevel="0" collapsed="false">
      <c r="A52" s="17" t="s">
        <v>100</v>
      </c>
      <c r="B52" s="18" t="s">
        <v>46</v>
      </c>
      <c r="C52" s="18" t="s">
        <v>101</v>
      </c>
      <c r="D52" s="19" t="s">
        <v>102</v>
      </c>
      <c r="E52" s="19" t="s">
        <v>102</v>
      </c>
      <c r="F52" s="19" t="s">
        <v>102</v>
      </c>
      <c r="G52" s="19" t="s">
        <v>102</v>
      </c>
      <c r="H52" s="18" t="str">
        <f aca="false">IFERROR(IF(INDEX('Quick Entry'!$B$2:$B$60,MATCH(A52,'Quick Entry'!$A$2:$A$60,0))="Yes",INDEX('Quick Entry'!$C$2:$C$60,MATCH(A52,'Quick Entry'!$A$2:$A$60,0)),"None"),"None")</f>
        <v>None</v>
      </c>
      <c r="I52" s="17" t="n">
        <f aca="false">IFERROR(VLOOKUP(H52,Lists!$A$2:$B$7,2,FALSE()),0)</f>
        <v>0</v>
      </c>
      <c r="J52" s="17" t="n">
        <f aca="false">IF(H52="None",0,IF(H52="Base",D52,IF(H52="Gold",E52,IF(H52="Diamond",F52,IF(H52="Rainbow",G52,"N/A (TBC)")))))</f>
        <v>0</v>
      </c>
      <c r="K52" s="18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20"/>
  </cols>
  <sheetData>
    <row r="1" customFormat="false" ht="39.55" hidden="false" customHeight="false" outlineLevel="0" collapsed="false">
      <c r="A1" s="14" t="s">
        <v>104</v>
      </c>
      <c r="B1" s="14" t="s">
        <v>12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108</v>
      </c>
      <c r="J1" s="14" t="s">
        <v>111</v>
      </c>
      <c r="K1" s="14" t="s">
        <v>112</v>
      </c>
      <c r="L1" s="14" t="s">
        <v>108</v>
      </c>
      <c r="M1" s="14" t="s">
        <v>113</v>
      </c>
    </row>
    <row r="2" customFormat="false" ht="15" hidden="false" customHeight="false" outlineLevel="0" collapsed="false">
      <c r="A2" s="20" t="n">
        <v>1</v>
      </c>
      <c r="B2" s="21" t="n">
        <v>10000</v>
      </c>
      <c r="C2" s="22" t="str">
        <f aca="false">IF(Dashboard!$B$2&gt;=B2,"YES","NO")</f>
        <v>NO</v>
      </c>
      <c r="D2" s="23" t="s">
        <v>45</v>
      </c>
      <c r="E2" s="23" t="s">
        <v>114</v>
      </c>
      <c r="F2" s="22" t="str">
        <f aca="false">IF(IFERROR(VLOOKUP(D2,'Droid Database'!$A:$I,9,FALSE()),0)&gt;=VLOOKUP(E2,Lists!$A$2:$B$7,2,FALSE()),"YES","NO")</f>
        <v>NO</v>
      </c>
      <c r="G2" s="23" t="s">
        <v>43</v>
      </c>
      <c r="H2" s="23" t="s">
        <v>114</v>
      </c>
      <c r="I2" s="22" t="str">
        <f aca="false">IF(IFERROR(VLOOKUP(G2,'Droid Database'!$A:$I,9,FALSE()),0)&gt;=VLOOKUP(H2,Lists!$A$2:$B$7,2,FALSE()),"YES","NO")</f>
        <v>NO</v>
      </c>
      <c r="J2" s="23" t="s">
        <v>53</v>
      </c>
      <c r="K2" s="23" t="s">
        <v>114</v>
      </c>
      <c r="L2" s="22" t="str">
        <f aca="false">IF(IFERROR(VLOOKUP(J2,'Droid Database'!$A:$I,9,FALSE()),0)&gt;=VLOOKUP(K2,Lists!$A$2:$B$7,2,FALSE()),"YES","NO")</f>
        <v>NO</v>
      </c>
      <c r="M2" s="22" t="str">
        <f aca="false">IF(AND(C2="YES",F2="YES",I2="YES",L2="YES"),"READY","NOT YET")</f>
        <v>NOT YET</v>
      </c>
    </row>
    <row r="3" customFormat="false" ht="15" hidden="false" customHeight="false" outlineLevel="0" collapsed="false">
      <c r="A3" s="20" t="n">
        <v>2</v>
      </c>
      <c r="B3" s="21" t="n">
        <v>150000</v>
      </c>
      <c r="C3" s="22" t="str">
        <f aca="false">IF(Dashboard!$B$2&gt;=B3,"YES","NO")</f>
        <v>NO</v>
      </c>
      <c r="D3" s="23" t="s">
        <v>55</v>
      </c>
      <c r="E3" s="23" t="s">
        <v>114</v>
      </c>
      <c r="F3" s="22" t="str">
        <f aca="false">IF(IFERROR(VLOOKUP(D3,'Droid Database'!$A:$I,9,FALSE()),0)&gt;=VLOOKUP(E3,Lists!$A$2:$B$7,2,FALSE()),"YES","NO")</f>
        <v>NO</v>
      </c>
      <c r="G3" s="23" t="s">
        <v>62</v>
      </c>
      <c r="H3" s="23" t="s">
        <v>114</v>
      </c>
      <c r="I3" s="22" t="str">
        <f aca="false">IF(IFERROR(VLOOKUP(G3,'Droid Database'!$A:$I,9,FALSE()),0)&gt;=VLOOKUP(H3,Lists!$A$2:$B$7,2,FALSE()),"YES","NO")</f>
        <v>NO</v>
      </c>
      <c r="J3" s="23" t="s">
        <v>60</v>
      </c>
      <c r="K3" s="23" t="s">
        <v>114</v>
      </c>
      <c r="L3" s="22" t="str">
        <f aca="false">IF(IFERROR(VLOOKUP(J3,'Droid Database'!$A:$I,9,FALSE()),0)&gt;=VLOOKUP(K3,Lists!$A$2:$B$7,2,FALSE()),"YES","NO")</f>
        <v>NO</v>
      </c>
      <c r="M3" s="22" t="str">
        <f aca="false">IF(AND(C3="YES",F3="YES",I3="YES",L3="YES"),"READY","NOT YET")</f>
        <v>NOT YET</v>
      </c>
    </row>
    <row r="4" customFormat="false" ht="15" hidden="false" customHeight="false" outlineLevel="0" collapsed="false">
      <c r="A4" s="20" t="n">
        <v>3</v>
      </c>
      <c r="B4" s="21" t="n">
        <v>975000</v>
      </c>
      <c r="C4" s="22" t="str">
        <f aca="false">IF(Dashboard!$B$2&gt;=B4,"YES","NO")</f>
        <v>NO</v>
      </c>
      <c r="D4" s="23" t="s">
        <v>63</v>
      </c>
      <c r="E4" s="23" t="s">
        <v>114</v>
      </c>
      <c r="F4" s="22" t="str">
        <f aca="false">IF(IFERROR(VLOOKUP(D4,'Droid Database'!$A:$I,9,FALSE()),0)&gt;=VLOOKUP(E4,Lists!$A$2:$B$7,2,FALSE()),"YES","NO")</f>
        <v>NO</v>
      </c>
      <c r="G4" s="23" t="s">
        <v>59</v>
      </c>
      <c r="H4" s="23" t="s">
        <v>114</v>
      </c>
      <c r="I4" s="22" t="str">
        <f aca="false">IF(IFERROR(VLOOKUP(G4,'Droid Database'!$A:$I,9,FALSE()),0)&gt;=VLOOKUP(H4,Lists!$A$2:$B$7,2,FALSE()),"YES","NO")</f>
        <v>NO</v>
      </c>
      <c r="J4" s="23" t="s">
        <v>65</v>
      </c>
      <c r="K4" s="23" t="s">
        <v>115</v>
      </c>
      <c r="L4" s="22" t="str">
        <f aca="false">IF(IFERROR(VLOOKUP(J4,'Droid Database'!$A:$I,9,FALSE()),0)&gt;=VLOOKUP(K4,Lists!$A$2:$B$7,2,FALSE()),"YES","NO")</f>
        <v>NO</v>
      </c>
      <c r="M4" s="22" t="str">
        <f aca="false">IF(AND(C4="YES",F4="YES",I4="YES",L4="YES"),"READY","NOT YET")</f>
        <v>NOT YET</v>
      </c>
    </row>
    <row r="5" customFormat="false" ht="15" hidden="false" customHeight="false" outlineLevel="0" collapsed="false">
      <c r="A5" s="20" t="n">
        <v>4</v>
      </c>
      <c r="B5" s="21" t="n">
        <v>2950000</v>
      </c>
      <c r="C5" s="22" t="str">
        <f aca="false">IF(Dashboard!$B$2&gt;=B5,"YES","NO")</f>
        <v>NO</v>
      </c>
      <c r="D5" s="23" t="s">
        <v>57</v>
      </c>
      <c r="E5" s="23" t="s">
        <v>115</v>
      </c>
      <c r="F5" s="22" t="str">
        <f aca="false">IF(IFERROR(VLOOKUP(D5,'Droid Database'!$A:$I,9,FALSE()),0)&gt;=VLOOKUP(E5,Lists!$A$2:$B$7,2,FALSE()),"YES","NO")</f>
        <v>NO</v>
      </c>
      <c r="G5" s="23" t="s">
        <v>66</v>
      </c>
      <c r="H5" s="23" t="s">
        <v>115</v>
      </c>
      <c r="I5" s="22" t="str">
        <f aca="false">IF(IFERROR(VLOOKUP(G5,'Droid Database'!$A:$I,9,FALSE()),0)&gt;=VLOOKUP(H5,Lists!$A$2:$B$7,2,FALSE()),"YES","NO")</f>
        <v>NO</v>
      </c>
      <c r="J5" s="23" t="s">
        <v>70</v>
      </c>
      <c r="K5" s="23" t="s">
        <v>114</v>
      </c>
      <c r="L5" s="22" t="str">
        <f aca="false">IF(IFERROR(VLOOKUP(J5,'Droid Database'!$A:$I,9,FALSE()),0)&gt;=VLOOKUP(K5,Lists!$A$2:$B$7,2,FALSE()),"YES","NO")</f>
        <v>NO</v>
      </c>
      <c r="M5" s="22" t="str">
        <f aca="false">IF(AND(C5="YES",F5="YES",I5="YES",L5="YES"),"READY","NOT YET")</f>
        <v>NOT YET</v>
      </c>
    </row>
    <row r="6" customFormat="false" ht="15" hidden="false" customHeight="false" outlineLevel="0" collapsed="false">
      <c r="A6" s="20" t="n">
        <v>5</v>
      </c>
      <c r="B6" s="21" t="n">
        <v>5350000</v>
      </c>
      <c r="C6" s="22" t="str">
        <f aca="false">IF(Dashboard!$B$2&gt;=B6,"YES","NO")</f>
        <v>NO</v>
      </c>
      <c r="D6" s="23" t="s">
        <v>59</v>
      </c>
      <c r="E6" s="23" t="s">
        <v>115</v>
      </c>
      <c r="F6" s="22" t="str">
        <f aca="false">IF(IFERROR(VLOOKUP(D6,'Droid Database'!$A:$I,9,FALSE()),0)&gt;=VLOOKUP(E6,Lists!$A$2:$B$7,2,FALSE()),"YES","NO")</f>
        <v>NO</v>
      </c>
      <c r="G6" s="23" t="s">
        <v>69</v>
      </c>
      <c r="H6" s="23" t="s">
        <v>115</v>
      </c>
      <c r="I6" s="22" t="str">
        <f aca="false">IF(IFERROR(VLOOKUP(G6,'Droid Database'!$A:$I,9,FALSE()),0)&gt;=VLOOKUP(H6,Lists!$A$2:$B$7,2,FALSE()),"YES","NO")</f>
        <v>NO</v>
      </c>
      <c r="J6" s="23" t="s">
        <v>65</v>
      </c>
      <c r="K6" s="23" t="s">
        <v>116</v>
      </c>
      <c r="L6" s="22" t="str">
        <f aca="false">IF(IFERROR(VLOOKUP(J6,'Droid Database'!$A:$I,9,FALSE()),0)&gt;=VLOOKUP(K6,Lists!$A$2:$B$7,2,FALSE()),"YES","NO")</f>
        <v>NO</v>
      </c>
      <c r="M6" s="22" t="str">
        <f aca="false">IF(AND(C6="YES",F6="YES",I6="YES",L6="YES"),"READY","NOT YET")</f>
        <v>NOT YET</v>
      </c>
    </row>
    <row r="7" customFormat="false" ht="15" hidden="false" customHeight="false" outlineLevel="0" collapsed="false">
      <c r="A7" s="20" t="n">
        <v>6</v>
      </c>
      <c r="B7" s="21" t="n">
        <v>9850000</v>
      </c>
      <c r="C7" s="22" t="str">
        <f aca="false">IF(Dashboard!$B$2&gt;=B7,"YES","NO")</f>
        <v>NO</v>
      </c>
      <c r="D7" s="23" t="s">
        <v>70</v>
      </c>
      <c r="E7" s="23" t="s">
        <v>115</v>
      </c>
      <c r="F7" s="22" t="str">
        <f aca="false">IF(IFERROR(VLOOKUP(D7,'Droid Database'!$A:$I,9,FALSE()),0)&gt;=VLOOKUP(E7,Lists!$A$2:$B$7,2,FALSE()),"YES","NO")</f>
        <v>NO</v>
      </c>
      <c r="G7" s="23" t="s">
        <v>57</v>
      </c>
      <c r="H7" s="23" t="s">
        <v>116</v>
      </c>
      <c r="I7" s="22" t="str">
        <f aca="false">IF(IFERROR(VLOOKUP(G7,'Droid Database'!$A:$I,9,FALSE()),0)&gt;=VLOOKUP(H7,Lists!$A$2:$B$7,2,FALSE()),"YES","NO")</f>
        <v>NO</v>
      </c>
      <c r="J7" s="23" t="s">
        <v>63</v>
      </c>
      <c r="K7" s="23" t="s">
        <v>116</v>
      </c>
      <c r="L7" s="22" t="str">
        <f aca="false">IF(IFERROR(VLOOKUP(J7,'Droid Database'!$A:$I,9,FALSE()),0)&gt;=VLOOKUP(K7,Lists!$A$2:$B$7,2,FALSE()),"YES","NO")</f>
        <v>NO</v>
      </c>
      <c r="M7" s="22" t="str">
        <f aca="false">IF(AND(C7="YES",F7="YES",I7="YES",L7="YES"),"READY","NOT YET")</f>
        <v>NOT YET</v>
      </c>
    </row>
    <row r="8" customFormat="false" ht="15" hidden="false" customHeight="false" outlineLevel="0" collapsed="false">
      <c r="A8" s="20" t="n">
        <v>7</v>
      </c>
      <c r="B8" s="21" t="n">
        <v>14500000</v>
      </c>
      <c r="C8" s="22" t="str">
        <f aca="false">IF(Dashboard!$B$2&gt;=B8,"YES","NO")</f>
        <v>NO</v>
      </c>
      <c r="D8" s="23" t="s">
        <v>76</v>
      </c>
      <c r="E8" s="23" t="s">
        <v>115</v>
      </c>
      <c r="F8" s="22" t="str">
        <f aca="false">IF(IFERROR(VLOOKUP(D8,'Droid Database'!$A:$I,9,FALSE()),0)&gt;=VLOOKUP(E8,Lists!$A$2:$B$7,2,FALSE()),"YES","NO")</f>
        <v>NO</v>
      </c>
      <c r="G8" s="23" t="s">
        <v>66</v>
      </c>
      <c r="H8" s="23" t="s">
        <v>116</v>
      </c>
      <c r="I8" s="22" t="str">
        <f aca="false">IF(IFERROR(VLOOKUP(G8,'Droid Database'!$A:$I,9,FALSE()),0)&gt;=VLOOKUP(H8,Lists!$A$2:$B$7,2,FALSE()),"YES","NO")</f>
        <v>NO</v>
      </c>
      <c r="J8" s="23" t="s">
        <v>59</v>
      </c>
      <c r="K8" s="23" t="s">
        <v>116</v>
      </c>
      <c r="L8" s="22" t="str">
        <f aca="false">IF(IFERROR(VLOOKUP(J8,'Droid Database'!$A:$I,9,FALSE()),0)&gt;=VLOOKUP(K8,Lists!$A$2:$B$7,2,FALSE()),"YES","NO")</f>
        <v>NO</v>
      </c>
      <c r="M8" s="22" t="str">
        <f aca="false">IF(AND(C8="YES",F8="YES",I8="YES",L8="YES"),"READY","NOT YET")</f>
        <v>NOT YET</v>
      </c>
    </row>
    <row r="9" customFormat="false" ht="15" hidden="false" customHeight="false" outlineLevel="0" collapsed="false">
      <c r="A9" s="20" t="n">
        <v>8</v>
      </c>
      <c r="B9" s="21" t="n">
        <v>36000000</v>
      </c>
      <c r="C9" s="22" t="str">
        <f aca="false">IF(Dashboard!$B$2&gt;=B9,"YES","NO")</f>
        <v>NO</v>
      </c>
      <c r="D9" s="23" t="s">
        <v>81</v>
      </c>
      <c r="E9" s="23" t="s">
        <v>115</v>
      </c>
      <c r="F9" s="22" t="str">
        <f aca="false">IF(IFERROR(VLOOKUP(D9,'Droid Database'!$A:$I,9,FALSE()),0)&gt;=VLOOKUP(E9,Lists!$A$2:$B$7,2,FALSE()),"YES","NO")</f>
        <v>NO</v>
      </c>
      <c r="G9" s="23" t="s">
        <v>72</v>
      </c>
      <c r="H9" s="23" t="s">
        <v>115</v>
      </c>
      <c r="I9" s="22" t="str">
        <f aca="false">IF(IFERROR(VLOOKUP(G9,'Droid Database'!$A:$I,9,FALSE()),0)&gt;=VLOOKUP(H9,Lists!$A$2:$B$7,2,FALSE()),"YES","NO")</f>
        <v>NO</v>
      </c>
      <c r="J9" s="23" t="s">
        <v>69</v>
      </c>
      <c r="K9" s="23" t="s">
        <v>116</v>
      </c>
      <c r="L9" s="22" t="str">
        <f aca="false">IF(IFERROR(VLOOKUP(J9,'Droid Database'!$A:$I,9,FALSE()),0)&gt;=VLOOKUP(K9,Lists!$A$2:$B$7,2,FALSE()),"YES","NO")</f>
        <v>NO</v>
      </c>
      <c r="M9" s="22" t="str">
        <f aca="false">IF(AND(C9="YES",F9="YES",I9="YES",L9="YES"),"READY","NOT YET")</f>
        <v>NOT YET</v>
      </c>
    </row>
    <row r="10" customFormat="false" ht="15" hidden="false" customHeight="false" outlineLevel="0" collapsed="false">
      <c r="A10" s="20" t="n">
        <v>9</v>
      </c>
      <c r="B10" s="21" t="n">
        <v>89000000</v>
      </c>
      <c r="C10" s="22" t="str">
        <f aca="false">IF(Dashboard!$B$2&gt;=B10,"YES","NO")</f>
        <v>NO</v>
      </c>
      <c r="D10" s="23" t="s">
        <v>70</v>
      </c>
      <c r="E10" s="23" t="s">
        <v>117</v>
      </c>
      <c r="F10" s="22" t="str">
        <f aca="false">IF(IFERROR(VLOOKUP(D10,'Droid Database'!$A:$I,9,FALSE()),0)&gt;=VLOOKUP(E10,Lists!$A$2:$B$7,2,FALSE()),"YES","NO")</f>
        <v>NO</v>
      </c>
      <c r="G10" s="23" t="s">
        <v>78</v>
      </c>
      <c r="H10" s="23" t="s">
        <v>115</v>
      </c>
      <c r="I10" s="22" t="str">
        <f aca="false">IF(IFERROR(VLOOKUP(G10,'Droid Database'!$A:$I,9,FALSE()),0)&gt;=VLOOKUP(H10,Lists!$A$2:$B$7,2,FALSE()),"YES","NO")</f>
        <v>NO</v>
      </c>
      <c r="J10" s="23" t="s">
        <v>79</v>
      </c>
      <c r="K10" s="23" t="s">
        <v>115</v>
      </c>
      <c r="L10" s="22" t="str">
        <f aca="false">IF(IFERROR(VLOOKUP(J10,'Droid Database'!$A:$I,9,FALSE()),0)&gt;=VLOOKUP(K10,Lists!$A$2:$B$7,2,FALSE()),"YES","NO")</f>
        <v>NO</v>
      </c>
      <c r="M10" s="22" t="str">
        <f aca="false">IF(AND(C10="YES",F10="YES",I10="YES",L10="YES"),"READY","NOT YET")</f>
        <v>NOT YET</v>
      </c>
    </row>
    <row r="11" customFormat="false" ht="15" hidden="false" customHeight="false" outlineLevel="0" collapsed="false">
      <c r="A11" s="20" t="n">
        <v>10</v>
      </c>
      <c r="B11" s="21" t="n">
        <v>220000000</v>
      </c>
      <c r="C11" s="22" t="str">
        <f aca="false">IF(Dashboard!$B$2&gt;=B11,"YES","NO")</f>
        <v>NO</v>
      </c>
      <c r="D11" s="23" t="s">
        <v>72</v>
      </c>
      <c r="E11" s="23" t="s">
        <v>117</v>
      </c>
      <c r="F11" s="22" t="str">
        <f aca="false">IF(IFERROR(VLOOKUP(D11,'Droid Database'!$A:$I,9,FALSE()),0)&gt;=VLOOKUP(E11,Lists!$A$2:$B$7,2,FALSE()),"YES","NO")</f>
        <v>NO</v>
      </c>
      <c r="G11" s="23" t="s">
        <v>86</v>
      </c>
      <c r="H11" s="23" t="s">
        <v>117</v>
      </c>
      <c r="I11" s="22" t="str">
        <f aca="false">IF(IFERROR(VLOOKUP(G11,'Droid Database'!$A:$I,9,FALSE()),0)&gt;=VLOOKUP(H11,Lists!$A$2:$B$7,2,FALSE()),"YES","NO")</f>
        <v>NO</v>
      </c>
      <c r="J11" s="23" t="s">
        <v>85</v>
      </c>
      <c r="K11" s="23" t="s">
        <v>115</v>
      </c>
      <c r="L11" s="22" t="str">
        <f aca="false">IF(IFERROR(VLOOKUP(J11,'Droid Database'!$A:$I,9,FALSE()),0)&gt;=VLOOKUP(K11,Lists!$A$2:$B$7,2,FALSE()),"YES","NO")</f>
        <v>NO</v>
      </c>
      <c r="M11" s="22" t="str">
        <f aca="false">IF(AND(C11="YES",F11="YES",I11="YES",L11="YES"),"READY","NOT YET")</f>
        <v>NOT YET</v>
      </c>
    </row>
    <row r="12" customFormat="false" ht="15" hidden="false" customHeight="false" outlineLevel="0" collapsed="false">
      <c r="A12" s="20" t="n">
        <v>11</v>
      </c>
      <c r="B12" s="21" t="n">
        <v>550000000</v>
      </c>
      <c r="C12" s="22" t="str">
        <f aca="false">IF(Dashboard!$B$2&gt;=B12,"YES","NO")</f>
        <v>NO</v>
      </c>
      <c r="D12" s="23" t="s">
        <v>73</v>
      </c>
      <c r="E12" s="23" t="s">
        <v>117</v>
      </c>
      <c r="F12" s="22" t="str">
        <f aca="false">IF(IFERROR(VLOOKUP(D12,'Droid Database'!$A:$I,9,FALSE()),0)&gt;=VLOOKUP(E12,Lists!$A$2:$B$7,2,FALSE()),"YES","NO")</f>
        <v>NO</v>
      </c>
      <c r="G12" s="23" t="s">
        <v>82</v>
      </c>
      <c r="H12" s="23" t="s">
        <v>117</v>
      </c>
      <c r="I12" s="22" t="str">
        <f aca="false">IF(IFERROR(VLOOKUP(G12,'Droid Database'!$A:$I,9,FALSE()),0)&gt;=VLOOKUP(H12,Lists!$A$2:$B$7,2,FALSE()),"YES","NO")</f>
        <v>NO</v>
      </c>
      <c r="J12" s="23" t="s">
        <v>95</v>
      </c>
      <c r="K12" s="23" t="s">
        <v>114</v>
      </c>
      <c r="L12" s="22" t="str">
        <f aca="false">IF(IFERROR(VLOOKUP(J12,'Droid Database'!$A:$I,9,FALSE()),0)&gt;=VLOOKUP(K12,Lists!$A$2:$B$7,2,FALSE()),"YES","NO")</f>
        <v>NO</v>
      </c>
      <c r="M12" s="22" t="str">
        <f aca="false">IF(AND(C12="YES",F12="YES",I12="YES",L12="YES"),"READY","NOT YET")</f>
        <v>NOT YET</v>
      </c>
    </row>
    <row r="13" customFormat="false" ht="15" hidden="false" customHeight="false" outlineLevel="0" collapsed="false">
      <c r="A13" s="20" t="n">
        <v>12</v>
      </c>
      <c r="B13" s="21" t="n">
        <v>1360000000</v>
      </c>
      <c r="C13" s="22" t="str">
        <f aca="false">IF(Dashboard!$B$2&gt;=B13,"YES","NO")</f>
        <v>NO</v>
      </c>
      <c r="D13" s="23" t="s">
        <v>89</v>
      </c>
      <c r="E13" s="23" t="s">
        <v>115</v>
      </c>
      <c r="F13" s="22" t="str">
        <f aca="false">IF(IFERROR(VLOOKUP(D13,'Droid Database'!$A:$I,9,FALSE()),0)&gt;=VLOOKUP(E13,Lists!$A$2:$B$7,2,FALSE()),"YES","NO")</f>
        <v>NO</v>
      </c>
      <c r="G13" s="23" t="s">
        <v>91</v>
      </c>
      <c r="H13" s="23" t="s">
        <v>114</v>
      </c>
      <c r="I13" s="22" t="str">
        <f aca="false">IF(IFERROR(VLOOKUP(G13,'Droid Database'!$A:$I,9,FALSE()),0)&gt;=VLOOKUP(H13,Lists!$A$2:$B$7,2,FALSE()),"YES","NO")</f>
        <v>NO</v>
      </c>
      <c r="J13" s="23" t="s">
        <v>93</v>
      </c>
      <c r="K13" s="23" t="s">
        <v>114</v>
      </c>
      <c r="L13" s="22" t="str">
        <f aca="false">IF(IFERROR(VLOOKUP(J13,'Droid Database'!$A:$I,9,FALSE()),0)&gt;=VLOOKUP(K13,Lists!$A$2:$B$7,2,FALSE()),"YES","NO")</f>
        <v>NO</v>
      </c>
      <c r="M13" s="22" t="str">
        <f aca="false">IF(AND(C13="YES",F13="YES",I13="YES",L13="YES"),"READY","NOT YET")</f>
        <v>NOT YET</v>
      </c>
    </row>
    <row r="14" customFormat="false" ht="15" hidden="false" customHeight="false" outlineLevel="0" collapsed="false">
      <c r="A14" s="20" t="n">
        <v>13</v>
      </c>
      <c r="B14" s="21" t="n">
        <v>3400000000</v>
      </c>
      <c r="C14" s="22" t="str">
        <f aca="false">IF(Dashboard!$B$2&gt;=B14,"YES","NO")</f>
        <v>NO</v>
      </c>
      <c r="D14" s="23" t="s">
        <v>96</v>
      </c>
      <c r="E14" s="23" t="s">
        <v>114</v>
      </c>
      <c r="F14" s="22" t="str">
        <f aca="false">IF(IFERROR(VLOOKUP(D14,'Droid Database'!$A:$I,9,FALSE()),0)&gt;=VLOOKUP(E14,Lists!$A$2:$B$7,2,FALSE()),"YES","NO")</f>
        <v>NO</v>
      </c>
      <c r="G14" s="23" t="s">
        <v>98</v>
      </c>
      <c r="H14" s="23" t="s">
        <v>114</v>
      </c>
      <c r="I14" s="22" t="str">
        <f aca="false">IF(IFERROR(VLOOKUP(G14,'Droid Database'!$A:$I,9,FALSE()),0)&gt;=VLOOKUP(H14,Lists!$A$2:$B$7,2,FALSE()),"YES","NO")</f>
        <v>NO</v>
      </c>
      <c r="J14" s="23" t="s">
        <v>97</v>
      </c>
      <c r="K14" s="23" t="s">
        <v>114</v>
      </c>
      <c r="L14" s="22" t="str">
        <f aca="false">IF(IFERROR(VLOOKUP(J14,'Droid Database'!$A:$I,9,FALSE()),0)&gt;=VLOOKUP(K14,Lists!$A$2:$B$7,2,FALSE()),"YES","NO")</f>
        <v>NO</v>
      </c>
      <c r="M14" s="22" t="str">
        <f aca="false">IF(AND(C14="YES",F14="YES",I14="YES",L14="YES"),"READY","NOT YET")</f>
        <v>NOT YET</v>
      </c>
    </row>
    <row r="15" customFormat="false" ht="15" hidden="false" customHeight="false" outlineLevel="0" collapsed="false">
      <c r="A15" s="20" t="n">
        <v>14</v>
      </c>
      <c r="B15" s="21" t="n">
        <v>8450000000</v>
      </c>
      <c r="C15" s="22" t="str">
        <f aca="false">IF(Dashboard!$B$2&gt;=B15,"YES","NO")</f>
        <v>NO</v>
      </c>
      <c r="D15" s="23" t="s">
        <v>99</v>
      </c>
      <c r="E15" s="23" t="s">
        <v>114</v>
      </c>
      <c r="F15" s="22" t="str">
        <f aca="false">IF(IFERROR(VLOOKUP(D15,'Droid Database'!$A:$I,9,FALSE()),0)&gt;=VLOOKUP(E15,Lists!$A$2:$B$7,2,FALSE()),"YES","NO")</f>
        <v>NO</v>
      </c>
      <c r="G15" s="23" t="s">
        <v>93</v>
      </c>
      <c r="H15" s="23" t="s">
        <v>115</v>
      </c>
      <c r="I15" s="22" t="str">
        <f aca="false">IF(IFERROR(VLOOKUP(G15,'Droid Database'!$A:$I,9,FALSE()),0)&gt;=VLOOKUP(H15,Lists!$A$2:$B$7,2,FALSE()),"YES","NO")</f>
        <v>NO</v>
      </c>
      <c r="J15" s="23" t="s">
        <v>91</v>
      </c>
      <c r="K15" s="23" t="s">
        <v>115</v>
      </c>
      <c r="L15" s="22" t="str">
        <f aca="false">IF(IFERROR(VLOOKUP(J15,'Droid Database'!$A:$I,9,FALSE()),0)&gt;=VLOOKUP(K15,Lists!$A$2:$B$7,2,FALSE()),"YES","NO")</f>
        <v>NO</v>
      </c>
      <c r="M15" s="22" t="str">
        <f aca="false">IF(AND(C15="YES",F15="YES",I15="YES",L15="YES"),"READY","NOT YET")</f>
        <v>NOT YET</v>
      </c>
    </row>
    <row r="16" customFormat="false" ht="15" hidden="false" customHeight="false" outlineLevel="0" collapsed="false">
      <c r="A16" s="20" t="n">
        <v>15</v>
      </c>
      <c r="B16" s="21" t="n">
        <v>21000000000</v>
      </c>
      <c r="C16" s="22" t="str">
        <f aca="false">IF(Dashboard!$B$2&gt;=B16,"YES","NO")</f>
        <v>NO</v>
      </c>
      <c r="D16" s="23" t="s">
        <v>97</v>
      </c>
      <c r="E16" s="23" t="s">
        <v>115</v>
      </c>
      <c r="F16" s="22" t="str">
        <f aca="false">IF(IFERROR(VLOOKUP(D16,'Droid Database'!$A:$I,9,FALSE()),0)&gt;=VLOOKUP(E16,Lists!$A$2:$B$7,2,FALSE()),"YES","NO")</f>
        <v>NO</v>
      </c>
      <c r="G16" s="23" t="s">
        <v>95</v>
      </c>
      <c r="H16" s="23" t="s">
        <v>115</v>
      </c>
      <c r="I16" s="22" t="str">
        <f aca="false">IF(IFERROR(VLOOKUP(G16,'Droid Database'!$A:$I,9,FALSE()),0)&gt;=VLOOKUP(H16,Lists!$A$2:$B$7,2,FALSE()),"YES","NO")</f>
        <v>NO</v>
      </c>
      <c r="J16" s="23" t="s">
        <v>96</v>
      </c>
      <c r="K16" s="23" t="s">
        <v>115</v>
      </c>
      <c r="L16" s="22" t="str">
        <f aca="false">IF(IFERROR(VLOOKUP(J16,'Droid Database'!$A:$I,9,FALSE()),0)&gt;=VLOOKUP(K16,Lists!$A$2:$B$7,2,FALSE()),"YES","NO")</f>
        <v>NO</v>
      </c>
      <c r="M16" s="22" t="str">
        <f aca="false">IF(AND(C16="YES",F16="YES",I16="YES",L16="YES"),"READY","NOT YET")</f>
        <v>NOT YET</v>
      </c>
    </row>
    <row r="17" customFormat="false" ht="15" hidden="false" customHeight="false" outlineLevel="0" collapsed="false">
      <c r="A17" s="20" t="n">
        <v>16</v>
      </c>
      <c r="B17" s="21" t="n">
        <v>52000000000</v>
      </c>
      <c r="C17" s="22" t="str">
        <f aca="false">IF(Dashboard!$B$2&gt;=B17,"YES","NO")</f>
        <v>NO</v>
      </c>
      <c r="D17" s="23" t="s">
        <v>99</v>
      </c>
      <c r="E17" s="23" t="s">
        <v>115</v>
      </c>
      <c r="F17" s="22" t="str">
        <f aca="false">IF(IFERROR(VLOOKUP(D17,'Droid Database'!$A:$I,9,FALSE()),0)&gt;=VLOOKUP(E17,Lists!$A$2:$B$7,2,FALSE()),"YES","NO")</f>
        <v>NO</v>
      </c>
      <c r="G17" s="23" t="s">
        <v>93</v>
      </c>
      <c r="H17" s="23" t="s">
        <v>116</v>
      </c>
      <c r="I17" s="22" t="str">
        <f aca="false">IF(IFERROR(VLOOKUP(G17,'Droid Database'!$A:$I,9,FALSE()),0)&gt;=VLOOKUP(H17,Lists!$A$2:$B$7,2,FALSE()),"YES","NO")</f>
        <v>NO</v>
      </c>
      <c r="J17" s="23" t="s">
        <v>89</v>
      </c>
      <c r="K17" s="23" t="s">
        <v>116</v>
      </c>
      <c r="L17" s="22" t="str">
        <f aca="false">IF(IFERROR(VLOOKUP(J17,'Droid Database'!$A:$I,9,FALSE()),0)&gt;=VLOOKUP(K17,Lists!$A$2:$B$7,2,FALSE()),"YES","NO")</f>
        <v>NO</v>
      </c>
      <c r="M17" s="22" t="str">
        <f aca="false">IF(AND(C17="YES",F17="YES",I17="YES",L17="YES"),"READY","NOT YET")</f>
        <v>NOT YET</v>
      </c>
    </row>
    <row r="18" customFormat="false" ht="15" hidden="false" customHeight="false" outlineLevel="0" collapsed="false">
      <c r="A18" s="20" t="n">
        <v>17</v>
      </c>
      <c r="B18" s="21" t="n">
        <v>130000000000</v>
      </c>
      <c r="C18" s="22" t="str">
        <f aca="false">IF(Dashboard!$B$2&gt;=B18,"YES","NO")</f>
        <v>NO</v>
      </c>
      <c r="D18" s="23" t="s">
        <v>97</v>
      </c>
      <c r="E18" s="23" t="s">
        <v>116</v>
      </c>
      <c r="F18" s="22" t="str">
        <f aca="false">IF(IFERROR(VLOOKUP(D18,'Droid Database'!$A:$I,9,FALSE()),0)&gt;=VLOOKUP(E18,Lists!$A$2:$B$7,2,FALSE()),"YES","NO")</f>
        <v>NO</v>
      </c>
      <c r="G18" s="23" t="s">
        <v>98</v>
      </c>
      <c r="H18" s="23" t="s">
        <v>116</v>
      </c>
      <c r="I18" s="22" t="str">
        <f aca="false">IF(IFERROR(VLOOKUP(G18,'Droid Database'!$A:$I,9,FALSE()),0)&gt;=VLOOKUP(H18,Lists!$A$2:$B$7,2,FALSE()),"YES","NO")</f>
        <v>NO</v>
      </c>
      <c r="J18" s="23" t="s">
        <v>91</v>
      </c>
      <c r="K18" s="23" t="s">
        <v>116</v>
      </c>
      <c r="L18" s="22" t="str">
        <f aca="false">IF(IFERROR(VLOOKUP(J18,'Droid Database'!$A:$I,9,FALSE()),0)&gt;=VLOOKUP(K18,Lists!$A$2:$B$7,2,FALSE()),"YES","NO")</f>
        <v>NO</v>
      </c>
      <c r="M18" s="22" t="str">
        <f aca="false">IF(AND(C18="YES",F18="YES",I18="YES",L18="YES"),"READY","NOT YET")</f>
        <v>NOT YET</v>
      </c>
    </row>
    <row r="19" customFormat="false" ht="15" hidden="false" customHeight="false" outlineLevel="0" collapsed="false">
      <c r="A19" s="20" t="n">
        <v>18</v>
      </c>
      <c r="B19" s="21" t="n">
        <v>325000000000</v>
      </c>
      <c r="C19" s="22" t="str">
        <f aca="false">IF(Dashboard!$B$2&gt;=B19,"YES","NO")</f>
        <v>NO</v>
      </c>
      <c r="D19" s="23" t="s">
        <v>95</v>
      </c>
      <c r="E19" s="23" t="s">
        <v>116</v>
      </c>
      <c r="F19" s="22" t="str">
        <f aca="false">IF(IFERROR(VLOOKUP(D19,'Droid Database'!$A:$I,9,FALSE()),0)&gt;=VLOOKUP(E19,Lists!$A$2:$B$7,2,FALSE()),"YES","NO")</f>
        <v>NO</v>
      </c>
      <c r="G19" s="23" t="s">
        <v>96</v>
      </c>
      <c r="H19" s="23" t="s">
        <v>116</v>
      </c>
      <c r="I19" s="22" t="str">
        <f aca="false">IF(IFERROR(VLOOKUP(G19,'Droid Database'!$A:$I,9,FALSE()),0)&gt;=VLOOKUP(H19,Lists!$A$2:$B$7,2,FALSE()),"YES","NO")</f>
        <v>NO</v>
      </c>
      <c r="J19" s="23" t="s">
        <v>93</v>
      </c>
      <c r="K19" s="23" t="s">
        <v>117</v>
      </c>
      <c r="L19" s="22" t="str">
        <f aca="false">IF(IFERROR(VLOOKUP(J19,'Droid Database'!$A:$I,9,FALSE()),0)&gt;=VLOOKUP(K19,Lists!$A$2:$B$7,2,FALSE()),"YES","NO")</f>
        <v>NO</v>
      </c>
      <c r="M19" s="22" t="str">
        <f aca="false">IF(AND(C19="YES",F19="YES",I19="YES",L19="YES"),"READY","NOT YET")</f>
        <v>NOT YET</v>
      </c>
    </row>
    <row r="20" customFormat="false" ht="15" hidden="false" customHeight="false" outlineLevel="0" collapsed="false">
      <c r="A20" s="20" t="n">
        <v>19</v>
      </c>
      <c r="B20" s="21" t="n">
        <v>810000000000</v>
      </c>
      <c r="C20" s="22" t="str">
        <f aca="false">IF(Dashboard!$B$2&gt;=B20,"YES","NO")</f>
        <v>NO</v>
      </c>
      <c r="D20" s="23" t="s">
        <v>97</v>
      </c>
      <c r="E20" s="23" t="s">
        <v>117</v>
      </c>
      <c r="F20" s="22" t="str">
        <f aca="false">IF(IFERROR(VLOOKUP(D20,'Droid Database'!$A:$I,9,FALSE()),0)&gt;=VLOOKUP(E20,Lists!$A$2:$B$7,2,FALSE()),"YES","NO")</f>
        <v>NO</v>
      </c>
      <c r="G20" s="23" t="s">
        <v>98</v>
      </c>
      <c r="H20" s="23" t="s">
        <v>117</v>
      </c>
      <c r="I20" s="22" t="str">
        <f aca="false">IF(IFERROR(VLOOKUP(G20,'Droid Database'!$A:$I,9,FALSE()),0)&gt;=VLOOKUP(H20,Lists!$A$2:$B$7,2,FALSE()),"YES","NO")</f>
        <v>NO</v>
      </c>
      <c r="J20" s="23" t="s">
        <v>89</v>
      </c>
      <c r="K20" s="23" t="s">
        <v>117</v>
      </c>
      <c r="L20" s="22" t="str">
        <f aca="false">IF(IFERROR(VLOOKUP(J20,'Droid Database'!$A:$I,9,FALSE()),0)&gt;=VLOOKUP(K20,Lists!$A$2:$B$7,2,FALSE()),"YES","NO")</f>
        <v>NO</v>
      </c>
      <c r="M20" s="22" t="str">
        <f aca="false">IF(AND(C20="YES",F20="YES",I20="YES",L20="YES"),"READY","NOT YET")</f>
        <v>NOT YET</v>
      </c>
    </row>
    <row r="21" customFormat="false" ht="15" hidden="false" customHeight="false" outlineLevel="0" collapsed="false">
      <c r="A21" s="20" t="n">
        <v>20</v>
      </c>
      <c r="B21" s="21" t="n">
        <v>2000000000000</v>
      </c>
      <c r="C21" s="22" t="str">
        <f aca="false">IF(Dashboard!$B$2&gt;=B21,"YES","NO")</f>
        <v>NO</v>
      </c>
      <c r="D21" s="23" t="s">
        <v>96</v>
      </c>
      <c r="E21" s="23" t="s">
        <v>117</v>
      </c>
      <c r="F21" s="22" t="str">
        <f aca="false">IF(IFERROR(VLOOKUP(D21,'Droid Database'!$A:$I,9,FALSE()),0)&gt;=VLOOKUP(E21,Lists!$A$2:$B$7,2,FALSE()),"YES","NO")</f>
        <v>NO</v>
      </c>
      <c r="G21" s="23" t="s">
        <v>99</v>
      </c>
      <c r="H21" s="23" t="s">
        <v>117</v>
      </c>
      <c r="I21" s="22" t="str">
        <f aca="false">IF(IFERROR(VLOOKUP(G21,'Droid Database'!$A:$I,9,FALSE()),0)&gt;=VLOOKUP(H21,Lists!$A$2:$B$7,2,FALSE()),"YES","NO")</f>
        <v>NO</v>
      </c>
      <c r="J21" s="23" t="s">
        <v>91</v>
      </c>
      <c r="K21" s="23" t="s">
        <v>117</v>
      </c>
      <c r="L21" s="22" t="str">
        <f aca="false">IF(IFERROR(VLOOKUP(J21,'Droid Database'!$A:$I,9,FALSE()),0)&gt;=VLOOKUP(K21,Lists!$A$2:$B$7,2,FALSE()),"YES","NO")</f>
        <v>NO</v>
      </c>
      <c r="M21" s="22" t="str">
        <f aca="false">IF(AND(C21="YES",F21="YES",I21="YES",L21="YES"),"READY","NOT YET")</f>
        <v>NOT YET</v>
      </c>
    </row>
    <row r="22" customFormat="false" ht="15" hidden="false" customHeight="false" outlineLevel="0" collapsed="false">
      <c r="A22" s="20" t="n">
        <v>21</v>
      </c>
      <c r="B22" s="21" t="n">
        <v>3000000000000</v>
      </c>
      <c r="C22" s="22" t="str">
        <f aca="false">IF(Dashboard!$B$2&gt;=B22,"YES","NO")</f>
        <v>NO</v>
      </c>
      <c r="D22" s="23" t="s">
        <v>76</v>
      </c>
      <c r="E22" s="23" t="s">
        <v>118</v>
      </c>
      <c r="F22" s="22" t="str">
        <f aca="false">IF(IFERROR(VLOOKUP(D22,'Droid Database'!$A:$I,9,FALSE()),0)&gt;=VLOOKUP(E22,Lists!$A$2:$B$7,2,FALSE()),"YES","NO")</f>
        <v>NO</v>
      </c>
      <c r="G22" s="23" t="s">
        <v>80</v>
      </c>
      <c r="H22" s="23" t="s">
        <v>118</v>
      </c>
      <c r="I22" s="22" t="str">
        <f aca="false">IF(IFERROR(VLOOKUP(G22,'Droid Database'!$A:$I,9,FALSE()),0)&gt;=VLOOKUP(H22,Lists!$A$2:$B$7,2,FALSE()),"YES","NO")</f>
        <v>NO</v>
      </c>
      <c r="J22" s="23" t="s">
        <v>70</v>
      </c>
      <c r="K22" s="23" t="s">
        <v>118</v>
      </c>
      <c r="L22" s="22" t="str">
        <f aca="false">IF(IFERROR(VLOOKUP(J22,'Droid Database'!$A:$I,9,FALSE()),0)&gt;=VLOOKUP(K22,Lists!$A$2:$B$7,2,FALSE()),"YES","NO")</f>
        <v>NO</v>
      </c>
      <c r="M22" s="22" t="str">
        <f aca="false">IF(AND(C22="YES",F22="YES",I22="YES",L22="YES"),"READY","NOT YET")</f>
        <v>NOT YET</v>
      </c>
    </row>
    <row r="23" customFormat="false" ht="15" hidden="false" customHeight="false" outlineLevel="0" collapsed="false">
      <c r="A23" s="20" t="n">
        <v>22</v>
      </c>
      <c r="B23" s="21" t="n">
        <v>4500000000000</v>
      </c>
      <c r="C23" s="22" t="str">
        <f aca="false">IF(Dashboard!$B$2&gt;=B23,"YES","NO")</f>
        <v>NO</v>
      </c>
      <c r="D23" s="23" t="s">
        <v>73</v>
      </c>
      <c r="E23" s="23" t="s">
        <v>118</v>
      </c>
      <c r="F23" s="22" t="str">
        <f aca="false">IF(IFERROR(VLOOKUP(D23,'Droid Database'!$A:$I,9,FALSE()),0)&gt;=VLOOKUP(E23,Lists!$A$2:$B$7,2,FALSE()),"YES","NO")</f>
        <v>NO</v>
      </c>
      <c r="G23" s="23" t="s">
        <v>82</v>
      </c>
      <c r="H23" s="23" t="s">
        <v>118</v>
      </c>
      <c r="I23" s="22" t="str">
        <f aca="false">IF(IFERROR(VLOOKUP(G23,'Droid Database'!$A:$I,9,FALSE()),0)&gt;=VLOOKUP(H23,Lists!$A$2:$B$7,2,FALSE()),"YES","NO")</f>
        <v>NO</v>
      </c>
      <c r="J23" s="23" t="s">
        <v>89</v>
      </c>
      <c r="K23" s="23" t="s">
        <v>118</v>
      </c>
      <c r="L23" s="22" t="str">
        <f aca="false">IF(IFERROR(VLOOKUP(J23,'Droid Database'!$A:$I,9,FALSE()),0)&gt;=VLOOKUP(K23,Lists!$A$2:$B$7,2,FALSE()),"YES","NO")</f>
        <v>NO</v>
      </c>
      <c r="M23" s="22" t="str">
        <f aca="false">IF(AND(C23="YES",F23="YES",I23="YES",L23="YES"),"READY","NOT YET")</f>
        <v>NOT YET</v>
      </c>
    </row>
    <row r="24" customFormat="false" ht="15" hidden="false" customHeight="false" outlineLevel="0" collapsed="false">
      <c r="A24" s="20" t="n">
        <v>23</v>
      </c>
      <c r="B24" s="21" t="n">
        <v>6000000000000</v>
      </c>
      <c r="C24" s="22" t="str">
        <f aca="false">IF(Dashboard!$B$2&gt;=B24,"YES","NO")</f>
        <v>NO</v>
      </c>
      <c r="D24" s="23" t="s">
        <v>99</v>
      </c>
      <c r="E24" s="23" t="s">
        <v>118</v>
      </c>
      <c r="F24" s="22" t="str">
        <f aca="false">IF(IFERROR(VLOOKUP(D24,'Droid Database'!$A:$I,9,FALSE()),0)&gt;=VLOOKUP(E24,Lists!$A$2:$B$7,2,FALSE()),"YES","NO")</f>
        <v>NO</v>
      </c>
      <c r="G24" s="23" t="s">
        <v>93</v>
      </c>
      <c r="H24" s="23" t="s">
        <v>118</v>
      </c>
      <c r="I24" s="22" t="str">
        <f aca="false">IF(IFERROR(VLOOKUP(G24,'Droid Database'!$A:$I,9,FALSE()),0)&gt;=VLOOKUP(H24,Lists!$A$2:$B$7,2,FALSE()),"YES","NO")</f>
        <v>NO</v>
      </c>
      <c r="J24" s="23" t="s">
        <v>96</v>
      </c>
      <c r="K24" s="23" t="s">
        <v>118</v>
      </c>
      <c r="L24" s="22" t="str">
        <f aca="false">IF(IFERROR(VLOOKUP(J24,'Droid Database'!$A:$I,9,FALSE()),0)&gt;=VLOOKUP(K24,Lists!$A$2:$B$7,2,FALSE()),"YES","NO")</f>
        <v>NO</v>
      </c>
      <c r="M24" s="22" t="str">
        <f aca="false">IF(AND(C24="YES",F24="YES",I24="YES",L24="YES"),"READY","NOT YET")</f>
        <v>NOT YET</v>
      </c>
    </row>
  </sheetData>
  <conditionalFormatting sqref="M2:M24">
    <cfRule type="expression" priority="2" aboveAverage="0" equalAverage="0" bottom="0" percent="0" rank="0" text="" dxfId="0">
      <formula>M2="READY"</formula>
    </cfRule>
    <cfRule type="expression" priority="3" aboveAverage="0" equalAverage="0" bottom="0" percent="0" rank="0" text="" dxfId="1">
      <formula>M2="NOT YET"</formula>
    </cfRule>
  </conditionalFormatting>
  <conditionalFormatting sqref="C2:C24">
    <cfRule type="expression" priority="4" aboveAverage="0" equalAverage="0" bottom="0" percent="0" rank="0" text="" dxfId="0">
      <formula>C2="YES"</formula>
    </cfRule>
    <cfRule type="expression" priority="5" aboveAverage="0" equalAverage="0" bottom="0" percent="0" rank="0" text="" dxfId="1">
      <formula>C2="NO"</formula>
    </cfRule>
  </conditionalFormatting>
  <conditionalFormatting sqref="F2:F24">
    <cfRule type="expression" priority="6" aboveAverage="0" equalAverage="0" bottom="0" percent="0" rank="0" text="" dxfId="0">
      <formula>F2="YES"</formula>
    </cfRule>
    <cfRule type="expression" priority="7" aboveAverage="0" equalAverage="0" bottom="0" percent="0" rank="0" text="" dxfId="1">
      <formula>F2="NO"</formula>
    </cfRule>
  </conditionalFormatting>
  <conditionalFormatting sqref="I2:I24">
    <cfRule type="expression" priority="8" aboveAverage="0" equalAverage="0" bottom="0" percent="0" rank="0" text="" dxfId="0">
      <formula>I2="YES"</formula>
    </cfRule>
    <cfRule type="expression" priority="9" aboveAverage="0" equalAverage="0" bottom="0" percent="0" rank="0" text="" dxfId="1">
      <formula>I2="NO"</formula>
    </cfRule>
  </conditionalFormatting>
  <conditionalFormatting sqref="L2:L24">
    <cfRule type="expression" priority="10" aboveAverage="0" equalAverage="0" bottom="0" percent="0" rank="0" text="" dxfId="0">
      <formula>L2="YES"</formula>
    </cfRule>
    <cfRule type="expression" priority="11" aboveAverage="0" equalAverage="0" bottom="0" percent="0" rank="0" text="" dxfId="1">
      <formula>L2="NO"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119</v>
      </c>
    </row>
    <row r="3" customFormat="false" ht="26.85" hidden="false" customHeight="false" outlineLevel="0" collapsed="false">
      <c r="A3" s="14" t="s">
        <v>31</v>
      </c>
      <c r="B3" s="14" t="s">
        <v>120</v>
      </c>
      <c r="C3" s="14" t="s">
        <v>121</v>
      </c>
      <c r="D3" s="14" t="s">
        <v>122</v>
      </c>
    </row>
    <row r="4" customFormat="false" ht="15" hidden="false" customHeight="false" outlineLevel="0" collapsed="false">
      <c r="A4" s="17" t="s">
        <v>42</v>
      </c>
      <c r="B4" s="19" t="n">
        <v>5</v>
      </c>
      <c r="C4" s="19" t="n">
        <v>10</v>
      </c>
      <c r="D4" s="19" t="n">
        <v>15</v>
      </c>
    </row>
    <row r="5" customFormat="false" ht="15" hidden="false" customHeight="false" outlineLevel="0" collapsed="false">
      <c r="A5" s="17" t="s">
        <v>56</v>
      </c>
      <c r="B5" s="19" t="n">
        <v>30</v>
      </c>
      <c r="C5" s="19" t="n">
        <v>50</v>
      </c>
      <c r="D5" s="19" t="n">
        <v>75</v>
      </c>
    </row>
    <row r="6" customFormat="false" ht="15" hidden="false" customHeight="false" outlineLevel="0" collapsed="false">
      <c r="A6" s="17" t="s">
        <v>71</v>
      </c>
      <c r="B6" s="19" t="n">
        <v>120</v>
      </c>
      <c r="C6" s="19" t="n">
        <v>180</v>
      </c>
      <c r="D6" s="19" t="n">
        <v>240</v>
      </c>
    </row>
    <row r="7" customFormat="false" ht="15" hidden="false" customHeight="false" outlineLevel="0" collapsed="false">
      <c r="A7" s="17" t="s">
        <v>92</v>
      </c>
      <c r="B7" s="19" t="n">
        <v>400</v>
      </c>
      <c r="C7" s="19" t="n">
        <v>1200</v>
      </c>
      <c r="D7" s="19" t="n">
        <v>4000</v>
      </c>
    </row>
    <row r="8" customFormat="false" ht="15" hidden="false" customHeight="false" outlineLevel="0" collapsed="false">
      <c r="A8" s="17" t="s">
        <v>101</v>
      </c>
      <c r="B8" s="19" t="s">
        <v>102</v>
      </c>
      <c r="C8" s="19" t="s">
        <v>102</v>
      </c>
      <c r="D8" s="19" t="s">
        <v>102</v>
      </c>
    </row>
    <row r="10" customFormat="false" ht="15" hidden="false" customHeight="false" outlineLevel="0" collapsed="false">
      <c r="A10" s="6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124</v>
      </c>
      <c r="D1" s="0" t="s">
        <v>125</v>
      </c>
      <c r="F1" s="0" t="s">
        <v>126</v>
      </c>
    </row>
    <row r="2" customFormat="false" ht="15" hidden="false" customHeight="false" outlineLevel="0" collapsed="false">
      <c r="A2" s="0" t="s">
        <v>127</v>
      </c>
      <c r="B2" s="0" t="n">
        <v>0</v>
      </c>
      <c r="D2" s="0" t="s">
        <v>128</v>
      </c>
      <c r="F2" s="0" t="s">
        <v>114</v>
      </c>
    </row>
    <row r="3" customFormat="false" ht="15" hidden="false" customHeight="false" outlineLevel="0" collapsed="false">
      <c r="A3" s="0" t="s">
        <v>114</v>
      </c>
      <c r="B3" s="0" t="n">
        <v>1</v>
      </c>
      <c r="D3" s="0" t="s">
        <v>28</v>
      </c>
      <c r="F3" s="0" t="s">
        <v>115</v>
      </c>
    </row>
    <row r="4" customFormat="false" ht="15" hidden="false" customHeight="false" outlineLevel="0" collapsed="false">
      <c r="A4" s="0" t="s">
        <v>115</v>
      </c>
      <c r="B4" s="0" t="n">
        <v>2</v>
      </c>
      <c r="F4" s="0" t="s">
        <v>116</v>
      </c>
    </row>
    <row r="5" customFormat="false" ht="15" hidden="false" customHeight="false" outlineLevel="0" collapsed="false">
      <c r="A5" s="0" t="s">
        <v>116</v>
      </c>
      <c r="B5" s="0" t="n">
        <v>3</v>
      </c>
      <c r="F5" s="0" t="s">
        <v>117</v>
      </c>
    </row>
    <row r="6" customFormat="false" ht="15" hidden="false" customHeight="false" outlineLevel="0" collapsed="false">
      <c r="A6" s="0" t="s">
        <v>117</v>
      </c>
      <c r="B6" s="0" t="n">
        <v>4</v>
      </c>
      <c r="F6" s="0" t="s">
        <v>118</v>
      </c>
    </row>
    <row r="7" customFormat="false" ht="15" hidden="false" customHeight="false" outlineLevel="0" collapsed="false">
      <c r="A7" s="0" t="s">
        <v>118</v>
      </c>
      <c r="B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2026-07-01T19:10:31Z</dcterms:created>
  <dc:creator>openpyxl</dc:creator>
  <dc:description/>
  <dc:language>en-US</dc:language>
  <cp:lastModifiedBy/>
  <dcterms:modified xsi:type="dcterms:W3CDTF">2026-07-01T19:10:31Z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